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ONEDRIVER\OneDrive\WORK\personal\GIT\CLAUDE2\project_kanban\"/>
    </mc:Choice>
  </mc:AlternateContent>
  <xr:revisionPtr revIDLastSave="0" documentId="13_ncr:1_{E8BDBE9F-E42C-4E22-869C-81F91BB31974}" xr6:coauthVersionLast="47" xr6:coauthVersionMax="47" xr10:uidLastSave="{00000000-0000-0000-0000-000000000000}"/>
  <bookViews>
    <workbookView xWindow="-120" yWindow="-120" windowWidth="38640" windowHeight="21120" xr2:uid="{00000000-000D-0000-FFFF-FFFF00000000}"/>
  </bookViews>
  <sheets>
    <sheet name="业务目标（陶淇晟）" sheetId="1" r:id="rId1"/>
    <sheet name="支撑中心目标" sheetId="2" r:id="rId2"/>
    <sheet name="2026年GS任务" sheetId="3" r:id="rId3"/>
    <sheet name="创新目标（黄勇）" sheetId="4" r:id="rId4"/>
    <sheet name="商务目标（何穹雕）" sheetId="5" r:id="rId5"/>
    <sheet name="管理能力提升目标（陶淇晟）" sheetId="6" state="hidden" r:id="rId6"/>
    <sheet name="软件产品规划及创新能力（何穹雕）" sheetId="7" state="hidden" r:id="rId7"/>
    <sheet name="技术研发能力建设（陈勇）" sheetId="8" state="hidden" r:id="rId8"/>
    <sheet name="项目群管理能力建设（赵慧环）" sheetId="9" state="hidden" r:id="rId9"/>
    <sheet name="商务能力建设（何穹雕）" sheetId="10" state="hidden" r:id="rId10"/>
    <sheet name="质量管控能力建设（郭胜美）" sheetId="11" state="hidden" r:id="rId11"/>
    <sheet name="质量管控能力建设（郭胜美）(副本)" sheetId="12" state="hidden" r:id="rId12"/>
    <sheet name="人员组织能力建设（黄勇）" sheetId="13" state="hidden" r:id="rId13"/>
    <sheet name="安全可控能力建设（王明亮）" sheetId="14" state="hidden" r:id="rId14"/>
    <sheet name="运维能力建设（王明亮）" sheetId="15" state="hidden" r:id="rId15"/>
    <sheet name="持续交付能力建设（李云志）" sheetId="16" state="hidden" r:id="rId16"/>
    <sheet name="知识共享能力建设（郭羚）" sheetId="17" state="hidden" r:id="rId17"/>
    <sheet name="考核计分逻辑" sheetId="18" r:id="rId18"/>
    <sheet name="Sheet4" sheetId="19" r:id="rId19"/>
  </sheets>
  <calcPr calcId="191029"/>
  <customWorkbookViews>
    <customWorkbookView name="黄勇 的视图" guid="{474E459E-896F-4A5C-9AEF-EF74FE53C424}" maximized="1" windowWidth="1415" windowHeight="872"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19" l="1"/>
  <c r="F13" i="19"/>
  <c r="H16" i="19" s="1"/>
  <c r="E13" i="19"/>
  <c r="EL96" i="5"/>
  <c r="EK96" i="5"/>
  <c r="EJ96" i="5"/>
  <c r="EI96" i="5"/>
  <c r="EH96" i="5"/>
  <c r="EG96" i="5"/>
  <c r="EF96" i="5"/>
  <c r="EE96" i="5"/>
  <c r="ED96" i="5"/>
  <c r="EC96" i="5"/>
  <c r="EB96" i="5"/>
  <c r="EA96" i="5"/>
  <c r="DZ96" i="5"/>
  <c r="DY96" i="5"/>
  <c r="DX96" i="5"/>
  <c r="DW96" i="5"/>
  <c r="DV96" i="5"/>
  <c r="DU96" i="5"/>
  <c r="DT96" i="5"/>
  <c r="DS96" i="5"/>
  <c r="DR96" i="5"/>
  <c r="DQ96" i="5"/>
  <c r="DP96" i="5"/>
  <c r="DO96" i="5"/>
  <c r="DN96" i="5"/>
  <c r="DM96" i="5"/>
  <c r="DL96" i="5"/>
  <c r="DK96" i="5"/>
  <c r="DJ96" i="5"/>
  <c r="DI96" i="5"/>
  <c r="DH96" i="5"/>
  <c r="DG96" i="5"/>
  <c r="DF96" i="5"/>
  <c r="DE96" i="5"/>
  <c r="DD96" i="5"/>
  <c r="DC96" i="5"/>
  <c r="DB96" i="5"/>
  <c r="DA96" i="5"/>
  <c r="CZ96" i="5"/>
  <c r="CY96" i="5"/>
  <c r="CX96" i="5"/>
  <c r="CW96" i="5"/>
  <c r="CV96" i="5"/>
  <c r="CU96" i="5"/>
  <c r="CT96" i="5"/>
  <c r="CS96" i="5"/>
  <c r="CR96" i="5"/>
  <c r="CQ96" i="5"/>
  <c r="CP96" i="5"/>
  <c r="CO96" i="5"/>
  <c r="CN96" i="5"/>
  <c r="CM96" i="5"/>
  <c r="CL96" i="5"/>
  <c r="CK96" i="5"/>
  <c r="CJ96" i="5"/>
  <c r="CI96" i="5"/>
  <c r="CH96" i="5"/>
  <c r="CG96" i="5"/>
  <c r="CF96" i="5"/>
  <c r="CE96" i="5"/>
  <c r="CD96" i="5"/>
  <c r="CC96" i="5"/>
  <c r="CB96" i="5"/>
  <c r="CA96" i="5"/>
  <c r="BZ96" i="5"/>
  <c r="BY96" i="5"/>
  <c r="BX96" i="5"/>
  <c r="BW96" i="5"/>
  <c r="BV96" i="5"/>
  <c r="BU96" i="5"/>
  <c r="BT96" i="5"/>
  <c r="BS96" i="5"/>
  <c r="BR96" i="5"/>
  <c r="BQ96" i="5"/>
  <c r="BP96" i="5"/>
  <c r="BO96" i="5"/>
  <c r="BN96" i="5"/>
  <c r="BM96" i="5"/>
  <c r="BL96" i="5"/>
  <c r="BK96" i="5"/>
  <c r="BJ96" i="5"/>
  <c r="BI96" i="5"/>
  <c r="BH96" i="5"/>
  <c r="BG96" i="5"/>
  <c r="BF96" i="5"/>
  <c r="BE96" i="5"/>
  <c r="BD96" i="5"/>
  <c r="BC96" i="5"/>
  <c r="BB96" i="5"/>
  <c r="BA96" i="5"/>
  <c r="AZ96" i="5"/>
  <c r="AY96" i="5"/>
  <c r="AX96" i="5"/>
  <c r="AW96" i="5"/>
  <c r="AV96" i="5"/>
  <c r="AU96" i="5"/>
  <c r="AT96" i="5"/>
  <c r="AS96" i="5"/>
  <c r="AR96" i="5"/>
  <c r="AQ96" i="5"/>
  <c r="AP96" i="5"/>
  <c r="AO96" i="5"/>
  <c r="AN96" i="5"/>
  <c r="AM96" i="5"/>
  <c r="AL96" i="5"/>
  <c r="AK96" i="5"/>
  <c r="AJ96" i="5"/>
  <c r="AI96" i="5"/>
  <c r="AH96" i="5"/>
  <c r="AG96" i="5"/>
  <c r="AF96" i="5"/>
  <c r="AE96" i="5"/>
  <c r="AD96" i="5"/>
  <c r="AC96" i="5"/>
  <c r="AB96" i="5"/>
  <c r="AA96" i="5"/>
  <c r="Z96" i="5"/>
  <c r="Y96" i="5"/>
  <c r="X96" i="5"/>
  <c r="V96" i="5"/>
  <c r="U96" i="5"/>
  <c r="T96" i="5"/>
  <c r="S96" i="5"/>
  <c r="R96" i="5"/>
  <c r="Q96" i="5"/>
  <c r="P96" i="5"/>
  <c r="O96" i="5"/>
  <c r="N96" i="5"/>
  <c r="M96" i="5"/>
  <c r="L96" i="5"/>
  <c r="J96" i="5"/>
  <c r="I96" i="5"/>
  <c r="H96" i="5"/>
  <c r="G96" i="5"/>
  <c r="W95" i="5"/>
  <c r="K94" i="5"/>
  <c r="W94" i="5" s="1"/>
  <c r="K93" i="5"/>
  <c r="W93" i="5" s="1"/>
  <c r="K92" i="5"/>
  <c r="W92" i="5" s="1"/>
  <c r="K91" i="5"/>
  <c r="W91" i="5" s="1"/>
  <c r="W96" i="5" s="1"/>
  <c r="EL89" i="5"/>
  <c r="EK89" i="5"/>
  <c r="EJ89" i="5"/>
  <c r="EI89" i="5"/>
  <c r="EH89" i="5"/>
  <c r="EG89" i="5"/>
  <c r="EF89" i="5"/>
  <c r="EE89" i="5"/>
  <c r="ED89" i="5"/>
  <c r="EC89" i="5"/>
  <c r="EB89" i="5"/>
  <c r="EA89" i="5"/>
  <c r="DZ89" i="5"/>
  <c r="DY89" i="5"/>
  <c r="DX89" i="5"/>
  <c r="DW89" i="5"/>
  <c r="DV89" i="5"/>
  <c r="DU89" i="5"/>
  <c r="DT89" i="5"/>
  <c r="DS89" i="5"/>
  <c r="DR89" i="5"/>
  <c r="DQ89" i="5"/>
  <c r="DP89" i="5"/>
  <c r="DO89" i="5"/>
  <c r="DN89" i="5"/>
  <c r="DM89" i="5"/>
  <c r="DL89" i="5"/>
  <c r="DK89" i="5"/>
  <c r="DJ89" i="5"/>
  <c r="DI89" i="5"/>
  <c r="DH89" i="5"/>
  <c r="DG89" i="5"/>
  <c r="DF89" i="5"/>
  <c r="DE89" i="5"/>
  <c r="DD89" i="5"/>
  <c r="DC89" i="5"/>
  <c r="DB89" i="5"/>
  <c r="DA89" i="5"/>
  <c r="CZ89" i="5"/>
  <c r="CY89" i="5"/>
  <c r="CX89" i="5"/>
  <c r="CW89" i="5"/>
  <c r="CV89" i="5"/>
  <c r="CU89" i="5"/>
  <c r="CT89" i="5"/>
  <c r="CS89" i="5"/>
  <c r="CR89" i="5"/>
  <c r="CQ89" i="5"/>
  <c r="CP89" i="5"/>
  <c r="CO89" i="5"/>
  <c r="CN89" i="5"/>
  <c r="CM89" i="5"/>
  <c r="CL89" i="5"/>
  <c r="CK89" i="5"/>
  <c r="CJ89" i="5"/>
  <c r="CI89" i="5"/>
  <c r="CH89" i="5"/>
  <c r="CG89" i="5"/>
  <c r="CF89" i="5"/>
  <c r="CE89" i="5"/>
  <c r="CD89" i="5"/>
  <c r="CC89" i="5"/>
  <c r="CB89" i="5"/>
  <c r="CA89" i="5"/>
  <c r="BZ89" i="5"/>
  <c r="BY89" i="5"/>
  <c r="BX89" i="5"/>
  <c r="BW89" i="5"/>
  <c r="BV89" i="5"/>
  <c r="BU89" i="5"/>
  <c r="BT89" i="5"/>
  <c r="BS89" i="5"/>
  <c r="BR89" i="5"/>
  <c r="BQ89" i="5"/>
  <c r="BP89" i="5"/>
  <c r="BO89" i="5"/>
  <c r="BN89" i="5"/>
  <c r="BM89" i="5"/>
  <c r="BL89" i="5"/>
  <c r="BK89" i="5"/>
  <c r="BJ89" i="5"/>
  <c r="BI89" i="5"/>
  <c r="BH89" i="5"/>
  <c r="BG89" i="5"/>
  <c r="BF89" i="5"/>
  <c r="BE89" i="5"/>
  <c r="BD89" i="5"/>
  <c r="BC89" i="5"/>
  <c r="BB89" i="5"/>
  <c r="BA89" i="5"/>
  <c r="AZ89" i="5"/>
  <c r="AY89" i="5"/>
  <c r="AX89" i="5"/>
  <c r="AW89" i="5"/>
  <c r="AV89" i="5"/>
  <c r="AU89" i="5"/>
  <c r="AT89" i="5"/>
  <c r="AS89" i="5"/>
  <c r="AR89" i="5"/>
  <c r="AQ89" i="5"/>
  <c r="AP89" i="5"/>
  <c r="AO89" i="5"/>
  <c r="AN89" i="5"/>
  <c r="AM89" i="5"/>
  <c r="AL89" i="5"/>
  <c r="AK89" i="5"/>
  <c r="AJ89" i="5"/>
  <c r="AI89" i="5"/>
  <c r="AH89" i="5"/>
  <c r="AG89" i="5"/>
  <c r="AF89" i="5"/>
  <c r="AE89" i="5"/>
  <c r="AD89" i="5"/>
  <c r="AC89" i="5"/>
  <c r="AB89" i="5"/>
  <c r="AA89" i="5"/>
  <c r="Z89" i="5"/>
  <c r="Y89" i="5"/>
  <c r="X89" i="5"/>
  <c r="U89" i="5"/>
  <c r="T89" i="5"/>
  <c r="S89" i="5"/>
  <c r="P89" i="5"/>
  <c r="O89" i="5"/>
  <c r="N89" i="5"/>
  <c r="M89" i="5"/>
  <c r="L89" i="5"/>
  <c r="J89" i="5"/>
  <c r="I89" i="5"/>
  <c r="H89" i="5"/>
  <c r="G89" i="5"/>
  <c r="Q88" i="5"/>
  <c r="K88" i="5"/>
  <c r="W88" i="5" s="1"/>
  <c r="K87" i="5"/>
  <c r="W87" i="5" s="1"/>
  <c r="K86" i="5"/>
  <c r="W86" i="5" s="1"/>
  <c r="R85" i="5"/>
  <c r="K85" i="5"/>
  <c r="K89" i="5" s="1"/>
  <c r="K84" i="5"/>
  <c r="W84" i="5" s="1"/>
  <c r="W80" i="5"/>
  <c r="Q80" i="5" s="1"/>
  <c r="W79" i="5"/>
  <c r="Q79" i="5" s="1"/>
  <c r="W78" i="5"/>
  <c r="K78" i="5"/>
  <c r="Q78" i="5" s="1"/>
  <c r="W77" i="5"/>
  <c r="K77" i="5"/>
  <c r="Q77" i="5" s="1"/>
  <c r="K76" i="5"/>
  <c r="W76" i="5" s="1"/>
  <c r="EL74" i="5"/>
  <c r="EK74" i="5"/>
  <c r="EJ74" i="5"/>
  <c r="EI74" i="5"/>
  <c r="EH74" i="5"/>
  <c r="EG74" i="5"/>
  <c r="EF74" i="5"/>
  <c r="EE74" i="5"/>
  <c r="ED74" i="5"/>
  <c r="EC74" i="5"/>
  <c r="EB74" i="5"/>
  <c r="EA74" i="5"/>
  <c r="DZ74" i="5"/>
  <c r="DY74" i="5"/>
  <c r="DX74" i="5"/>
  <c r="DW74" i="5"/>
  <c r="DV74" i="5"/>
  <c r="DU74" i="5"/>
  <c r="DT74" i="5"/>
  <c r="DS74" i="5"/>
  <c r="DR74" i="5"/>
  <c r="DQ74" i="5"/>
  <c r="DP74" i="5"/>
  <c r="DO74" i="5"/>
  <c r="DN74" i="5"/>
  <c r="DM74" i="5"/>
  <c r="DL74" i="5"/>
  <c r="DK74" i="5"/>
  <c r="DJ74" i="5"/>
  <c r="DI74" i="5"/>
  <c r="DH74" i="5"/>
  <c r="DG74" i="5"/>
  <c r="DF74" i="5"/>
  <c r="DE74" i="5"/>
  <c r="DD74" i="5"/>
  <c r="DC74" i="5"/>
  <c r="DB74" i="5"/>
  <c r="DA74" i="5"/>
  <c r="CZ74" i="5"/>
  <c r="CY74" i="5"/>
  <c r="CX74" i="5"/>
  <c r="CW74" i="5"/>
  <c r="CV74" i="5"/>
  <c r="CU74" i="5"/>
  <c r="CT74" i="5"/>
  <c r="CS74" i="5"/>
  <c r="CR74" i="5"/>
  <c r="CQ74" i="5"/>
  <c r="CP74" i="5"/>
  <c r="CO74" i="5"/>
  <c r="CN74" i="5"/>
  <c r="CM74" i="5"/>
  <c r="CL74" i="5"/>
  <c r="CK74" i="5"/>
  <c r="CJ74" i="5"/>
  <c r="CI74" i="5"/>
  <c r="CH74" i="5"/>
  <c r="CG74" i="5"/>
  <c r="CF74" i="5"/>
  <c r="CE74" i="5"/>
  <c r="CD74" i="5"/>
  <c r="CC74" i="5"/>
  <c r="CB74" i="5"/>
  <c r="CA74" i="5"/>
  <c r="BZ74" i="5"/>
  <c r="BY74" i="5"/>
  <c r="BX74" i="5"/>
  <c r="BW74" i="5"/>
  <c r="BV74" i="5"/>
  <c r="BU74" i="5"/>
  <c r="BT74" i="5"/>
  <c r="BS74" i="5"/>
  <c r="BR74" i="5"/>
  <c r="BQ74" i="5"/>
  <c r="BP74" i="5"/>
  <c r="BO74" i="5"/>
  <c r="BN74" i="5"/>
  <c r="BM74" i="5"/>
  <c r="BL74" i="5"/>
  <c r="BK74" i="5"/>
  <c r="BJ74" i="5"/>
  <c r="BI74" i="5"/>
  <c r="BH74" i="5"/>
  <c r="BG74" i="5"/>
  <c r="BF74" i="5"/>
  <c r="BE74" i="5"/>
  <c r="BD74" i="5"/>
  <c r="BC74" i="5"/>
  <c r="BB74" i="5"/>
  <c r="BA74" i="5"/>
  <c r="AZ74" i="5"/>
  <c r="AY74" i="5"/>
  <c r="AX74" i="5"/>
  <c r="AW74" i="5"/>
  <c r="AV74" i="5"/>
  <c r="AU74" i="5"/>
  <c r="AT74" i="5"/>
  <c r="AS74" i="5"/>
  <c r="AR74" i="5"/>
  <c r="AQ74" i="5"/>
  <c r="AP74" i="5"/>
  <c r="AO74" i="5"/>
  <c r="AN74" i="5"/>
  <c r="AM74" i="5"/>
  <c r="AL74" i="5"/>
  <c r="AK74" i="5"/>
  <c r="AJ74" i="5"/>
  <c r="AI74" i="5"/>
  <c r="AH74" i="5"/>
  <c r="AG74" i="5"/>
  <c r="AF74" i="5"/>
  <c r="AE74" i="5"/>
  <c r="AD74" i="5"/>
  <c r="AC74" i="5"/>
  <c r="AB74" i="5"/>
  <c r="AA74" i="5"/>
  <c r="Z74" i="5"/>
  <c r="Y74" i="5"/>
  <c r="X74" i="5"/>
  <c r="U74" i="5"/>
  <c r="T74" i="5"/>
  <c r="S74" i="5"/>
  <c r="O74" i="5"/>
  <c r="N74" i="5"/>
  <c r="M74" i="5"/>
  <c r="J74" i="5"/>
  <c r="I74" i="5"/>
  <c r="H74" i="5"/>
  <c r="G74" i="5"/>
  <c r="W73" i="5"/>
  <c r="Q73" i="5" s="1"/>
  <c r="R73" i="5" s="1"/>
  <c r="W72" i="5"/>
  <c r="R72" i="5"/>
  <c r="W71" i="5"/>
  <c r="R71" i="5"/>
  <c r="W70" i="5"/>
  <c r="R70" i="5"/>
  <c r="W69" i="5"/>
  <c r="R69" i="5"/>
  <c r="W68" i="5"/>
  <c r="R68" i="5"/>
  <c r="W67" i="5"/>
  <c r="R67" i="5"/>
  <c r="W66" i="5"/>
  <c r="V65" i="5"/>
  <c r="R65" i="5"/>
  <c r="Q65" i="5" s="1"/>
  <c r="L65" i="5"/>
  <c r="K65" i="5"/>
  <c r="V64" i="5"/>
  <c r="Q64" i="5" s="1"/>
  <c r="R64" i="5"/>
  <c r="P64" i="5"/>
  <c r="L64" i="5"/>
  <c r="K64" i="5"/>
  <c r="V63" i="5"/>
  <c r="R63" i="5"/>
  <c r="Q63" i="5" s="1"/>
  <c r="W63" i="5" s="1"/>
  <c r="P63" i="5"/>
  <c r="L63" i="5"/>
  <c r="K63" i="5"/>
  <c r="V62" i="5"/>
  <c r="R62" i="5"/>
  <c r="Q62" i="5" s="1"/>
  <c r="P62" i="5"/>
  <c r="L62" i="5"/>
  <c r="K62" i="5" s="1"/>
  <c r="W62" i="5" s="1"/>
  <c r="V61" i="5"/>
  <c r="R61" i="5"/>
  <c r="Q61" i="5"/>
  <c r="P61" i="5"/>
  <c r="L61" i="5"/>
  <c r="K61" i="5"/>
  <c r="W61" i="5" s="1"/>
  <c r="V60" i="5"/>
  <c r="R60" i="5"/>
  <c r="Q60" i="5" s="1"/>
  <c r="P60" i="5"/>
  <c r="L60" i="5"/>
  <c r="K60" i="5" s="1"/>
  <c r="V59" i="5"/>
  <c r="Q59" i="5" s="1"/>
  <c r="R59" i="5"/>
  <c r="P59" i="5"/>
  <c r="L59" i="5"/>
  <c r="K59" i="5" s="1"/>
  <c r="W59" i="5" s="1"/>
  <c r="V58" i="5"/>
  <c r="R58" i="5"/>
  <c r="Q58" i="5" s="1"/>
  <c r="P58" i="5"/>
  <c r="L58" i="5"/>
  <c r="K58" i="5"/>
  <c r="V57" i="5"/>
  <c r="R57" i="5"/>
  <c r="Q57" i="5" s="1"/>
  <c r="P57" i="5"/>
  <c r="K57" i="5" s="1"/>
  <c r="L57" i="5"/>
  <c r="V56" i="5"/>
  <c r="R56" i="5"/>
  <c r="Q56" i="5"/>
  <c r="P56" i="5"/>
  <c r="L56" i="5"/>
  <c r="K56" i="5" s="1"/>
  <c r="W56" i="5" s="1"/>
  <c r="V55" i="5"/>
  <c r="R55" i="5"/>
  <c r="Q55" i="5"/>
  <c r="P55" i="5"/>
  <c r="L55" i="5"/>
  <c r="K55" i="5"/>
  <c r="W55" i="5" s="1"/>
  <c r="W54" i="5"/>
  <c r="V54" i="5"/>
  <c r="V74" i="5" s="1"/>
  <c r="R54" i="5"/>
  <c r="Q54" i="5"/>
  <c r="P54" i="5"/>
  <c r="P74" i="5" s="1"/>
  <c r="L54" i="5"/>
  <c r="K54" i="5"/>
  <c r="K53" i="5"/>
  <c r="W53" i="5" s="1"/>
  <c r="K52" i="5"/>
  <c r="W51" i="5"/>
  <c r="Q51" i="5"/>
  <c r="R51" i="5" s="1"/>
  <c r="L51" i="5"/>
  <c r="K51" i="5"/>
  <c r="K50" i="5"/>
  <c r="W50" i="5" s="1"/>
  <c r="K49" i="5"/>
  <c r="W49" i="5" s="1"/>
  <c r="K48" i="5"/>
  <c r="W47" i="5"/>
  <c r="Q47" i="5"/>
  <c r="R47" i="5" s="1"/>
  <c r="L47" i="5"/>
  <c r="K47" i="5"/>
  <c r="EL45" i="5"/>
  <c r="EK45" i="5"/>
  <c r="EJ45" i="5"/>
  <c r="EI45" i="5"/>
  <c r="EH45" i="5"/>
  <c r="EG45" i="5"/>
  <c r="EF45" i="5"/>
  <c r="EE45" i="5"/>
  <c r="ED45" i="5"/>
  <c r="EC45" i="5"/>
  <c r="EB45" i="5"/>
  <c r="EA45" i="5"/>
  <c r="DZ45" i="5"/>
  <c r="DY45" i="5"/>
  <c r="DX45" i="5"/>
  <c r="DW45" i="5"/>
  <c r="DV45" i="5"/>
  <c r="DU45" i="5"/>
  <c r="DT45" i="5"/>
  <c r="DS45" i="5"/>
  <c r="DR45" i="5"/>
  <c r="DQ45" i="5"/>
  <c r="DP45" i="5"/>
  <c r="DO45" i="5"/>
  <c r="DN45" i="5"/>
  <c r="DM45" i="5"/>
  <c r="DL45" i="5"/>
  <c r="DK45" i="5"/>
  <c r="DJ45" i="5"/>
  <c r="DI45" i="5"/>
  <c r="DH45" i="5"/>
  <c r="DG45" i="5"/>
  <c r="DF45" i="5"/>
  <c r="DE45" i="5"/>
  <c r="DD45" i="5"/>
  <c r="DC45" i="5"/>
  <c r="DB45" i="5"/>
  <c r="DA45" i="5"/>
  <c r="CZ45" i="5"/>
  <c r="CY45" i="5"/>
  <c r="CX45" i="5"/>
  <c r="CW45" i="5"/>
  <c r="CV45" i="5"/>
  <c r="CU45" i="5"/>
  <c r="CT45" i="5"/>
  <c r="CS45" i="5"/>
  <c r="CR45" i="5"/>
  <c r="CQ45" i="5"/>
  <c r="CP45" i="5"/>
  <c r="CO45" i="5"/>
  <c r="CN45" i="5"/>
  <c r="CM45" i="5"/>
  <c r="CL45" i="5"/>
  <c r="CK45" i="5"/>
  <c r="CJ45" i="5"/>
  <c r="CI45" i="5"/>
  <c r="CH45" i="5"/>
  <c r="CG45" i="5"/>
  <c r="CF45" i="5"/>
  <c r="CE45" i="5"/>
  <c r="CD45" i="5"/>
  <c r="CC45" i="5"/>
  <c r="CB45" i="5"/>
  <c r="CA45" i="5"/>
  <c r="BZ45" i="5"/>
  <c r="BY45" i="5"/>
  <c r="BX45" i="5"/>
  <c r="BW45" i="5"/>
  <c r="BV45" i="5"/>
  <c r="BU45" i="5"/>
  <c r="BT45" i="5"/>
  <c r="BS45" i="5"/>
  <c r="BR45" i="5"/>
  <c r="BQ45" i="5"/>
  <c r="BP45" i="5"/>
  <c r="BO45" i="5"/>
  <c r="BN45" i="5"/>
  <c r="BM45" i="5"/>
  <c r="BL45" i="5"/>
  <c r="BK45" i="5"/>
  <c r="BJ45" i="5"/>
  <c r="BI45" i="5"/>
  <c r="BH45" i="5"/>
  <c r="BG45" i="5"/>
  <c r="BF45" i="5"/>
  <c r="BE45" i="5"/>
  <c r="BD45" i="5"/>
  <c r="BC45" i="5"/>
  <c r="BB45" i="5"/>
  <c r="BA45" i="5"/>
  <c r="AZ45" i="5"/>
  <c r="AY45" i="5"/>
  <c r="AX45" i="5"/>
  <c r="AW45" i="5"/>
  <c r="AV45" i="5"/>
  <c r="AU45" i="5"/>
  <c r="AT45" i="5"/>
  <c r="AS45" i="5"/>
  <c r="AR45" i="5"/>
  <c r="AQ45" i="5"/>
  <c r="AP45" i="5"/>
  <c r="AO45" i="5"/>
  <c r="AN45" i="5"/>
  <c r="AM45" i="5"/>
  <c r="AL45" i="5"/>
  <c r="AK45" i="5"/>
  <c r="AJ45" i="5"/>
  <c r="AI45" i="5"/>
  <c r="AH45" i="5"/>
  <c r="AG45" i="5"/>
  <c r="AF45" i="5"/>
  <c r="AE45" i="5"/>
  <c r="AD45" i="5"/>
  <c r="AC45" i="5"/>
  <c r="AB45" i="5"/>
  <c r="AA45" i="5"/>
  <c r="Z45" i="5"/>
  <c r="Y45" i="5"/>
  <c r="X45" i="5"/>
  <c r="U45" i="5"/>
  <c r="T45" i="5"/>
  <c r="S45" i="5"/>
  <c r="R45" i="5"/>
  <c r="O45" i="5"/>
  <c r="N45" i="5"/>
  <c r="M45" i="5"/>
  <c r="L45" i="5"/>
  <c r="J45" i="5"/>
  <c r="I45" i="5"/>
  <c r="H45" i="5"/>
  <c r="G45" i="5"/>
  <c r="W44" i="5"/>
  <c r="K43" i="5"/>
  <c r="Q43" i="5" s="1"/>
  <c r="Q42" i="5"/>
  <c r="V42" i="5" s="1"/>
  <c r="K42" i="5"/>
  <c r="W42" i="5" s="1"/>
  <c r="K41" i="5"/>
  <c r="W41" i="5" s="1"/>
  <c r="Q41" i="5" s="1"/>
  <c r="W40" i="5"/>
  <c r="V40" i="5"/>
  <c r="K39" i="5"/>
  <c r="P39" i="5" s="1"/>
  <c r="W38" i="5"/>
  <c r="P38" i="5"/>
  <c r="K38" i="5"/>
  <c r="EL36" i="5"/>
  <c r="EK36" i="5"/>
  <c r="EJ36" i="5"/>
  <c r="EI36" i="5"/>
  <c r="EH36" i="5"/>
  <c r="EG36" i="5"/>
  <c r="EF36" i="5"/>
  <c r="EE36" i="5"/>
  <c r="ED36" i="5"/>
  <c r="EC36" i="5"/>
  <c r="EB36" i="5"/>
  <c r="EA36" i="5"/>
  <c r="DZ36" i="5"/>
  <c r="DY36" i="5"/>
  <c r="DX36" i="5"/>
  <c r="DW36" i="5"/>
  <c r="DV36" i="5"/>
  <c r="DU36" i="5"/>
  <c r="DT36" i="5"/>
  <c r="DS36" i="5"/>
  <c r="DR36" i="5"/>
  <c r="DQ36" i="5"/>
  <c r="DP36" i="5"/>
  <c r="DO36" i="5"/>
  <c r="DN36" i="5"/>
  <c r="DM36" i="5"/>
  <c r="DL36" i="5"/>
  <c r="DK36" i="5"/>
  <c r="DJ36" i="5"/>
  <c r="DI36" i="5"/>
  <c r="DH36" i="5"/>
  <c r="DG36" i="5"/>
  <c r="DF36" i="5"/>
  <c r="DE36" i="5"/>
  <c r="DD36" i="5"/>
  <c r="DC36" i="5"/>
  <c r="DB36" i="5"/>
  <c r="DA36" i="5"/>
  <c r="CZ36" i="5"/>
  <c r="CY36" i="5"/>
  <c r="CX36" i="5"/>
  <c r="CW36" i="5"/>
  <c r="CV36" i="5"/>
  <c r="CU36" i="5"/>
  <c r="CT36" i="5"/>
  <c r="CS36" i="5"/>
  <c r="CR36" i="5"/>
  <c r="CQ36" i="5"/>
  <c r="CP36" i="5"/>
  <c r="CO36" i="5"/>
  <c r="CN36" i="5"/>
  <c r="CM36" i="5"/>
  <c r="CL36" i="5"/>
  <c r="CK36" i="5"/>
  <c r="CJ36" i="5"/>
  <c r="CI36" i="5"/>
  <c r="CH36" i="5"/>
  <c r="CG36" i="5"/>
  <c r="CF36" i="5"/>
  <c r="CE36" i="5"/>
  <c r="CD36" i="5"/>
  <c r="CC36" i="5"/>
  <c r="CB36" i="5"/>
  <c r="CA36" i="5"/>
  <c r="BZ36" i="5"/>
  <c r="BY36" i="5"/>
  <c r="BX36" i="5"/>
  <c r="BW36" i="5"/>
  <c r="BV36" i="5"/>
  <c r="BU36" i="5"/>
  <c r="BT36" i="5"/>
  <c r="BS36" i="5"/>
  <c r="BR36" i="5"/>
  <c r="BQ36" i="5"/>
  <c r="BP36" i="5"/>
  <c r="BO36" i="5"/>
  <c r="BN36" i="5"/>
  <c r="BM36" i="5"/>
  <c r="BL36" i="5"/>
  <c r="BK36" i="5"/>
  <c r="BJ36" i="5"/>
  <c r="BI36" i="5"/>
  <c r="BH36" i="5"/>
  <c r="BG36" i="5"/>
  <c r="BF36" i="5"/>
  <c r="BE36" i="5"/>
  <c r="BD36" i="5"/>
  <c r="BC36" i="5"/>
  <c r="BB36" i="5"/>
  <c r="BA36" i="5"/>
  <c r="AZ36" i="5"/>
  <c r="AY36" i="5"/>
  <c r="AX36" i="5"/>
  <c r="AW36" i="5"/>
  <c r="AV36" i="5"/>
  <c r="AU36" i="5"/>
  <c r="AT36" i="5"/>
  <c r="AS36" i="5"/>
  <c r="AR36" i="5"/>
  <c r="AQ36" i="5"/>
  <c r="AP36" i="5"/>
  <c r="AO36" i="5"/>
  <c r="AN36" i="5"/>
  <c r="AM36" i="5"/>
  <c r="AL36" i="5"/>
  <c r="AK36" i="5"/>
  <c r="AJ36" i="5"/>
  <c r="AI36" i="5"/>
  <c r="Z36" i="5"/>
  <c r="Y36" i="5"/>
  <c r="X36" i="5"/>
  <c r="U36" i="5"/>
  <c r="T36" i="5"/>
  <c r="S36" i="5"/>
  <c r="R36" i="5"/>
  <c r="O36" i="5"/>
  <c r="N36" i="5"/>
  <c r="M36" i="5"/>
  <c r="L36" i="5"/>
  <c r="K36" i="5"/>
  <c r="J36" i="5"/>
  <c r="I36" i="5"/>
  <c r="H36" i="5"/>
  <c r="G36" i="5"/>
  <c r="AH35" i="5"/>
  <c r="AG35" i="5"/>
  <c r="AF35" i="5"/>
  <c r="AE35" i="5"/>
  <c r="AD35" i="5"/>
  <c r="AA35" i="5"/>
  <c r="W35" i="5"/>
  <c r="V35" i="5"/>
  <c r="P35" i="5"/>
  <c r="AE34" i="5"/>
  <c r="AD34" i="5"/>
  <c r="AC34" i="5"/>
  <c r="AG34" i="5" s="1"/>
  <c r="AB34" i="5"/>
  <c r="AF34" i="5" s="1"/>
  <c r="AA34" i="5"/>
  <c r="Q34" i="5"/>
  <c r="W34" i="5" s="1"/>
  <c r="P34" i="5"/>
  <c r="AG33" i="5"/>
  <c r="AE33" i="5"/>
  <c r="AD33" i="5"/>
  <c r="AC33" i="5"/>
  <c r="AB33" i="5"/>
  <c r="AF33" i="5" s="1"/>
  <c r="AA33" i="5"/>
  <c r="Q33" i="5"/>
  <c r="W33" i="5" s="1"/>
  <c r="AH33" i="5" s="1"/>
  <c r="P33" i="5"/>
  <c r="AE32" i="5"/>
  <c r="AC32" i="5"/>
  <c r="AG32" i="5" s="1"/>
  <c r="AB32" i="5"/>
  <c r="AD32" i="5" s="1"/>
  <c r="AH32" i="5" s="1"/>
  <c r="AA32" i="5"/>
  <c r="AA36" i="5" s="1"/>
  <c r="W32" i="5"/>
  <c r="V32" i="5"/>
  <c r="Q32" i="5"/>
  <c r="P32" i="5"/>
  <c r="AE31" i="5"/>
  <c r="AC31" i="5"/>
  <c r="AG31" i="5" s="1"/>
  <c r="AB31" i="5"/>
  <c r="AF31" i="5" s="1"/>
  <c r="AA31" i="5"/>
  <c r="W31" i="5"/>
  <c r="Q31" i="5"/>
  <c r="V31" i="5" s="1"/>
  <c r="P31" i="5"/>
  <c r="AG30" i="5"/>
  <c r="AG36" i="5" s="1"/>
  <c r="AF30" i="5"/>
  <c r="AE30" i="5"/>
  <c r="AE36" i="5" s="1"/>
  <c r="AD30" i="5"/>
  <c r="AC30" i="5"/>
  <c r="AC36" i="5" s="1"/>
  <c r="AB30" i="5"/>
  <c r="AA30" i="5"/>
  <c r="W30" i="5"/>
  <c r="Q30" i="5"/>
  <c r="V30" i="5" s="1"/>
  <c r="P30" i="5"/>
  <c r="P36" i="5" s="1"/>
  <c r="EL28" i="5"/>
  <c r="EK28" i="5"/>
  <c r="EJ28" i="5"/>
  <c r="EI28" i="5"/>
  <c r="EH28" i="5"/>
  <c r="EG28" i="5"/>
  <c r="EF28" i="5"/>
  <c r="EE28" i="5"/>
  <c r="ED28" i="5"/>
  <c r="EC28" i="5"/>
  <c r="EB28" i="5"/>
  <c r="EA28" i="5"/>
  <c r="DZ28" i="5"/>
  <c r="DY28" i="5"/>
  <c r="DX28" i="5"/>
  <c r="DW28" i="5"/>
  <c r="DV28" i="5"/>
  <c r="DU28" i="5"/>
  <c r="DT28" i="5"/>
  <c r="DS28" i="5"/>
  <c r="DR28" i="5"/>
  <c r="DQ28" i="5"/>
  <c r="DP28" i="5"/>
  <c r="DO28" i="5"/>
  <c r="DN28" i="5"/>
  <c r="DM28" i="5"/>
  <c r="DL28" i="5"/>
  <c r="DK28" i="5"/>
  <c r="DJ28" i="5"/>
  <c r="DI28" i="5"/>
  <c r="DH28" i="5"/>
  <c r="DG28" i="5"/>
  <c r="DF28" i="5"/>
  <c r="DE28" i="5"/>
  <c r="DD28" i="5"/>
  <c r="DC28" i="5"/>
  <c r="DB28" i="5"/>
  <c r="DA28" i="5"/>
  <c r="CZ28" i="5"/>
  <c r="CY28" i="5"/>
  <c r="CX28" i="5"/>
  <c r="CW28" i="5"/>
  <c r="CV28" i="5"/>
  <c r="CU28" i="5"/>
  <c r="CT28" i="5"/>
  <c r="CS28" i="5"/>
  <c r="CR28" i="5"/>
  <c r="CQ28" i="5"/>
  <c r="CP28" i="5"/>
  <c r="CO28" i="5"/>
  <c r="CN28" i="5"/>
  <c r="CM28" i="5"/>
  <c r="CL28" i="5"/>
  <c r="CK28" i="5"/>
  <c r="CJ28" i="5"/>
  <c r="CI28" i="5"/>
  <c r="CH28" i="5"/>
  <c r="CG28" i="5"/>
  <c r="CF28" i="5"/>
  <c r="CE28" i="5"/>
  <c r="CD28" i="5"/>
  <c r="CC28" i="5"/>
  <c r="CB28" i="5"/>
  <c r="CA28" i="5"/>
  <c r="BZ28" i="5"/>
  <c r="BY28" i="5"/>
  <c r="BX28" i="5"/>
  <c r="BW28" i="5"/>
  <c r="BV28" i="5"/>
  <c r="BU28" i="5"/>
  <c r="BT28" i="5"/>
  <c r="BS28" i="5"/>
  <c r="BR28" i="5"/>
  <c r="BQ28" i="5"/>
  <c r="BP28" i="5"/>
  <c r="BO28" i="5"/>
  <c r="BN28" i="5"/>
  <c r="BM28" i="5"/>
  <c r="BL28" i="5"/>
  <c r="BK28" i="5"/>
  <c r="BJ28" i="5"/>
  <c r="BI28" i="5"/>
  <c r="BH28" i="5"/>
  <c r="BG28" i="5"/>
  <c r="BF28" i="5"/>
  <c r="BE28" i="5"/>
  <c r="BD28" i="5"/>
  <c r="BC28" i="5"/>
  <c r="BB28" i="5"/>
  <c r="BA28" i="5"/>
  <c r="AZ28" i="5"/>
  <c r="AY28" i="5"/>
  <c r="AX28" i="5"/>
  <c r="AW28" i="5"/>
  <c r="AV28" i="5"/>
  <c r="AU28" i="5"/>
  <c r="AT28" i="5"/>
  <c r="AS28" i="5"/>
  <c r="AR28" i="5"/>
  <c r="AQ28" i="5"/>
  <c r="AP28" i="5"/>
  <c r="AO28" i="5"/>
  <c r="AN28" i="5"/>
  <c r="AM28" i="5"/>
  <c r="AL28" i="5"/>
  <c r="AK28" i="5"/>
  <c r="AJ28" i="5"/>
  <c r="AI28" i="5"/>
  <c r="AH28" i="5"/>
  <c r="AG28" i="5"/>
  <c r="AF28" i="5"/>
  <c r="AE28" i="5"/>
  <c r="AD28" i="5"/>
  <c r="AC28" i="5"/>
  <c r="AB28" i="5"/>
  <c r="AA28" i="5"/>
  <c r="Z28" i="5"/>
  <c r="Y28" i="5"/>
  <c r="X28" i="5"/>
  <c r="U28" i="5"/>
  <c r="T28" i="5"/>
  <c r="S28" i="5"/>
  <c r="R28" i="5"/>
  <c r="P28" i="5"/>
  <c r="O28" i="5"/>
  <c r="N28" i="5"/>
  <c r="M28" i="5"/>
  <c r="L28" i="5"/>
  <c r="K28" i="5"/>
  <c r="J28" i="5"/>
  <c r="I28" i="5"/>
  <c r="H28" i="5"/>
  <c r="G28" i="5"/>
  <c r="W26" i="5"/>
  <c r="V25" i="5"/>
  <c r="V28" i="5" s="1"/>
  <c r="Q25" i="5"/>
  <c r="W25" i="5" s="1"/>
  <c r="W28" i="5" s="1"/>
  <c r="EL21" i="5"/>
  <c r="EL100" i="5" s="1"/>
  <c r="EK21" i="5"/>
  <c r="EK100" i="5" s="1"/>
  <c r="EJ21" i="5"/>
  <c r="EJ100" i="5" s="1"/>
  <c r="EI21" i="5"/>
  <c r="EI100" i="5" s="1"/>
  <c r="EH21" i="5"/>
  <c r="EH100" i="5" s="1"/>
  <c r="EG21" i="5"/>
  <c r="EG100" i="5" s="1"/>
  <c r="EF21" i="5"/>
  <c r="EF100" i="5" s="1"/>
  <c r="EE21" i="5"/>
  <c r="EE100" i="5" s="1"/>
  <c r="ED21" i="5"/>
  <c r="ED100" i="5" s="1"/>
  <c r="EC21" i="5"/>
  <c r="EC100" i="5" s="1"/>
  <c r="EB21" i="5"/>
  <c r="EB100" i="5" s="1"/>
  <c r="EA21" i="5"/>
  <c r="EA100" i="5" s="1"/>
  <c r="DZ21" i="5"/>
  <c r="DZ100" i="5" s="1"/>
  <c r="DY21" i="5"/>
  <c r="DY100" i="5" s="1"/>
  <c r="DX21" i="5"/>
  <c r="DX100" i="5" s="1"/>
  <c r="DW21" i="5"/>
  <c r="DW100" i="5" s="1"/>
  <c r="DV21" i="5"/>
  <c r="DV100" i="5" s="1"/>
  <c r="DU21" i="5"/>
  <c r="DU100" i="5" s="1"/>
  <c r="DT21" i="5"/>
  <c r="DT100" i="5" s="1"/>
  <c r="DS21" i="5"/>
  <c r="DS100" i="5" s="1"/>
  <c r="DR21" i="5"/>
  <c r="DR100" i="5" s="1"/>
  <c r="DQ21" i="5"/>
  <c r="DQ100" i="5" s="1"/>
  <c r="DP21" i="5"/>
  <c r="DP100" i="5" s="1"/>
  <c r="DO21" i="5"/>
  <c r="DO100" i="5" s="1"/>
  <c r="DN21" i="5"/>
  <c r="DN100" i="5" s="1"/>
  <c r="DM21" i="5"/>
  <c r="DM100" i="5" s="1"/>
  <c r="DL21" i="5"/>
  <c r="DL100" i="5" s="1"/>
  <c r="DK21" i="5"/>
  <c r="DK100" i="5" s="1"/>
  <c r="DJ21" i="5"/>
  <c r="DJ100" i="5" s="1"/>
  <c r="DI21" i="5"/>
  <c r="DI100" i="5" s="1"/>
  <c r="DH21" i="5"/>
  <c r="DH100" i="5" s="1"/>
  <c r="DG21" i="5"/>
  <c r="DG100" i="5" s="1"/>
  <c r="DF21" i="5"/>
  <c r="DF100" i="5" s="1"/>
  <c r="DE21" i="5"/>
  <c r="DE100" i="5" s="1"/>
  <c r="DD21" i="5"/>
  <c r="DD100" i="5" s="1"/>
  <c r="DC21" i="5"/>
  <c r="DC100" i="5" s="1"/>
  <c r="DB21" i="5"/>
  <c r="DB100" i="5" s="1"/>
  <c r="DA21" i="5"/>
  <c r="DA100" i="5" s="1"/>
  <c r="CZ21" i="5"/>
  <c r="CZ100" i="5" s="1"/>
  <c r="CY21" i="5"/>
  <c r="CY100" i="5" s="1"/>
  <c r="CX21" i="5"/>
  <c r="CX100" i="5" s="1"/>
  <c r="CW21" i="5"/>
  <c r="CW100" i="5" s="1"/>
  <c r="CV21" i="5"/>
  <c r="CV100" i="5" s="1"/>
  <c r="CU21" i="5"/>
  <c r="CU100" i="5" s="1"/>
  <c r="CT21" i="5"/>
  <c r="CT100" i="5" s="1"/>
  <c r="CS21" i="5"/>
  <c r="CS100" i="5" s="1"/>
  <c r="CR21" i="5"/>
  <c r="CR100" i="5" s="1"/>
  <c r="CQ21" i="5"/>
  <c r="CQ100" i="5" s="1"/>
  <c r="CP21" i="5"/>
  <c r="CP100" i="5" s="1"/>
  <c r="CO21" i="5"/>
  <c r="CO100" i="5" s="1"/>
  <c r="CN21" i="5"/>
  <c r="CN100" i="5" s="1"/>
  <c r="CM21" i="5"/>
  <c r="CM100" i="5" s="1"/>
  <c r="CL21" i="5"/>
  <c r="CL100" i="5" s="1"/>
  <c r="CK21" i="5"/>
  <c r="CK100" i="5" s="1"/>
  <c r="CJ21" i="5"/>
  <c r="CJ100" i="5" s="1"/>
  <c r="CI21" i="5"/>
  <c r="CI100" i="5" s="1"/>
  <c r="CH21" i="5"/>
  <c r="CH100" i="5" s="1"/>
  <c r="CG21" i="5"/>
  <c r="CG100" i="5" s="1"/>
  <c r="CF21" i="5"/>
  <c r="CF100" i="5" s="1"/>
  <c r="CE21" i="5"/>
  <c r="CE100" i="5" s="1"/>
  <c r="CD21" i="5"/>
  <c r="CD100" i="5" s="1"/>
  <c r="CC21" i="5"/>
  <c r="CC100" i="5" s="1"/>
  <c r="CB21" i="5"/>
  <c r="CB100" i="5" s="1"/>
  <c r="CA21" i="5"/>
  <c r="CA100" i="5" s="1"/>
  <c r="BZ21" i="5"/>
  <c r="BZ100" i="5" s="1"/>
  <c r="BY21" i="5"/>
  <c r="BY100" i="5" s="1"/>
  <c r="BX21" i="5"/>
  <c r="BX100" i="5" s="1"/>
  <c r="BW21" i="5"/>
  <c r="BW100" i="5" s="1"/>
  <c r="BV21" i="5"/>
  <c r="BV100" i="5" s="1"/>
  <c r="BU21" i="5"/>
  <c r="BU100" i="5" s="1"/>
  <c r="BT21" i="5"/>
  <c r="BT100" i="5" s="1"/>
  <c r="BS21" i="5"/>
  <c r="BS100" i="5" s="1"/>
  <c r="BR21" i="5"/>
  <c r="BR100" i="5" s="1"/>
  <c r="BQ21" i="5"/>
  <c r="BQ100" i="5" s="1"/>
  <c r="BP21" i="5"/>
  <c r="BP100" i="5" s="1"/>
  <c r="BO21" i="5"/>
  <c r="BO100" i="5" s="1"/>
  <c r="BN21" i="5"/>
  <c r="BN100" i="5" s="1"/>
  <c r="BM21" i="5"/>
  <c r="BM100" i="5" s="1"/>
  <c r="BL21" i="5"/>
  <c r="BL100" i="5" s="1"/>
  <c r="BK21" i="5"/>
  <c r="BK100" i="5" s="1"/>
  <c r="BJ21" i="5"/>
  <c r="BJ100" i="5" s="1"/>
  <c r="BI21" i="5"/>
  <c r="BI100" i="5" s="1"/>
  <c r="BH21" i="5"/>
  <c r="BH100" i="5" s="1"/>
  <c r="BG21" i="5"/>
  <c r="BG100" i="5" s="1"/>
  <c r="BF21" i="5"/>
  <c r="BF100" i="5" s="1"/>
  <c r="BE21" i="5"/>
  <c r="BE100" i="5" s="1"/>
  <c r="BD21" i="5"/>
  <c r="BD100" i="5" s="1"/>
  <c r="BC21" i="5"/>
  <c r="BC100" i="5" s="1"/>
  <c r="BB21" i="5"/>
  <c r="BB100" i="5" s="1"/>
  <c r="BA21" i="5"/>
  <c r="BA100" i="5" s="1"/>
  <c r="AZ21" i="5"/>
  <c r="AZ100" i="5" s="1"/>
  <c r="AY21" i="5"/>
  <c r="AY100" i="5" s="1"/>
  <c r="AX21" i="5"/>
  <c r="AX100" i="5" s="1"/>
  <c r="AW21" i="5"/>
  <c r="AW100" i="5" s="1"/>
  <c r="AV21" i="5"/>
  <c r="AV100" i="5" s="1"/>
  <c r="AU21" i="5"/>
  <c r="AU100" i="5" s="1"/>
  <c r="AT21" i="5"/>
  <c r="AT100" i="5" s="1"/>
  <c r="AS21" i="5"/>
  <c r="AS100" i="5" s="1"/>
  <c r="AR21" i="5"/>
  <c r="AR100" i="5" s="1"/>
  <c r="AQ21" i="5"/>
  <c r="AQ100" i="5" s="1"/>
  <c r="AP21" i="5"/>
  <c r="AP100" i="5" s="1"/>
  <c r="AO21" i="5"/>
  <c r="AO100" i="5" s="1"/>
  <c r="AN21" i="5"/>
  <c r="AN100" i="5" s="1"/>
  <c r="AM21" i="5"/>
  <c r="AM100" i="5" s="1"/>
  <c r="AL21" i="5"/>
  <c r="AL100" i="5" s="1"/>
  <c r="AK21" i="5"/>
  <c r="AK100" i="5" s="1"/>
  <c r="AJ21" i="5"/>
  <c r="AJ100" i="5" s="1"/>
  <c r="AI21" i="5"/>
  <c r="AI100" i="5" s="1"/>
  <c r="AH21" i="5"/>
  <c r="AG21" i="5"/>
  <c r="AG100" i="5" s="1"/>
  <c r="AF21" i="5"/>
  <c r="AE21" i="5"/>
  <c r="AD21" i="5"/>
  <c r="AC21" i="5"/>
  <c r="AB21" i="5"/>
  <c r="AA21" i="5"/>
  <c r="AA100" i="5" s="1"/>
  <c r="Z21" i="5"/>
  <c r="Z100" i="5" s="1"/>
  <c r="Y21" i="5"/>
  <c r="Y100" i="5" s="1"/>
  <c r="X21" i="5"/>
  <c r="X100" i="5" s="1"/>
  <c r="U21" i="5"/>
  <c r="U100" i="5" s="1"/>
  <c r="T21" i="5"/>
  <c r="T100" i="5" s="1"/>
  <c r="S21" i="5"/>
  <c r="S100" i="5" s="1"/>
  <c r="R21" i="5"/>
  <c r="P21" i="5"/>
  <c r="O21" i="5"/>
  <c r="O100" i="5" s="1"/>
  <c r="N21" i="5"/>
  <c r="N100" i="5" s="1"/>
  <c r="M21" i="5"/>
  <c r="M100" i="5" s="1"/>
  <c r="L21" i="5"/>
  <c r="K21" i="5"/>
  <c r="J21" i="5"/>
  <c r="J100" i="5" s="1"/>
  <c r="I21" i="5"/>
  <c r="I100" i="5" s="1"/>
  <c r="H21" i="5"/>
  <c r="H100" i="5" s="1"/>
  <c r="G21" i="5"/>
  <c r="G100" i="5" s="1"/>
  <c r="K20" i="5"/>
  <c r="W19" i="5"/>
  <c r="Q19" i="5"/>
  <c r="W18" i="5"/>
  <c r="K18" i="5"/>
  <c r="Q18" i="5" s="1"/>
  <c r="V18" i="5" s="1"/>
  <c r="K15" i="5"/>
  <c r="W15" i="5" s="1"/>
  <c r="K14" i="5"/>
  <c r="W14" i="5" s="1"/>
  <c r="W13" i="5"/>
  <c r="V13" i="5"/>
  <c r="Q13" i="5"/>
  <c r="K13" i="5"/>
  <c r="K12" i="5"/>
  <c r="W12" i="5" s="1"/>
  <c r="W11" i="5"/>
  <c r="K11" i="5"/>
  <c r="Q11" i="5" s="1"/>
  <c r="V11" i="5" s="1"/>
  <c r="W10" i="5"/>
  <c r="V10" i="5"/>
  <c r="Q10" i="5"/>
  <c r="K9" i="5"/>
  <c r="Q9" i="5" s="1"/>
  <c r="V9" i="5" l="1"/>
  <c r="R79" i="5"/>
  <c r="R89" i="5" s="1"/>
  <c r="AH34" i="5"/>
  <c r="W64" i="5"/>
  <c r="W45" i="5"/>
  <c r="Q45" i="5"/>
  <c r="V41" i="5"/>
  <c r="V45" i="5" s="1"/>
  <c r="Q48" i="5"/>
  <c r="R48" i="5" s="1"/>
  <c r="W60" i="5"/>
  <c r="W74" i="5" s="1"/>
  <c r="AD36" i="5"/>
  <c r="AD100" i="5" s="1"/>
  <c r="P100" i="5"/>
  <c r="AF100" i="5"/>
  <c r="V36" i="5"/>
  <c r="V43" i="5"/>
  <c r="W43" i="5"/>
  <c r="W36" i="5"/>
  <c r="W65" i="5"/>
  <c r="W57" i="5"/>
  <c r="W58" i="5"/>
  <c r="AF36" i="5"/>
  <c r="AC100" i="5"/>
  <c r="AE100" i="5"/>
  <c r="P45" i="5"/>
  <c r="L48" i="5"/>
  <c r="L74" i="5" s="1"/>
  <c r="L100" i="5" s="1"/>
  <c r="L52" i="5"/>
  <c r="Q84" i="5"/>
  <c r="W9" i="5"/>
  <c r="W21" i="5" s="1"/>
  <c r="AF32" i="5"/>
  <c r="K45" i="5"/>
  <c r="K100" i="5" s="1"/>
  <c r="K104" i="5" s="1"/>
  <c r="Q15" i="5"/>
  <c r="V15" i="5" s="1"/>
  <c r="Q28" i="5"/>
  <c r="P41" i="5"/>
  <c r="W48" i="5"/>
  <c r="W52" i="5"/>
  <c r="Q52" i="5" s="1"/>
  <c r="K96" i="5"/>
  <c r="Q76" i="5"/>
  <c r="W85" i="5"/>
  <c r="W89" i="5" s="1"/>
  <c r="L49" i="5"/>
  <c r="Q49" i="5"/>
  <c r="R49" i="5" s="1"/>
  <c r="Q53" i="5"/>
  <c r="R53" i="5" s="1"/>
  <c r="V33" i="5"/>
  <c r="Q86" i="5"/>
  <c r="AB36" i="5"/>
  <c r="AB100" i="5" s="1"/>
  <c r="L53" i="5"/>
  <c r="AD31" i="5"/>
  <c r="AH31" i="5" s="1"/>
  <c r="Q36" i="5"/>
  <c r="P42" i="5"/>
  <c r="V34" i="5"/>
  <c r="W39" i="5"/>
  <c r="L50" i="5"/>
  <c r="Q87" i="5"/>
  <c r="Q12" i="5"/>
  <c r="V12" i="5" s="1"/>
  <c r="Q50" i="5"/>
  <c r="R50" i="5" s="1"/>
  <c r="Q14" i="5"/>
  <c r="V14" i="5" s="1"/>
  <c r="K74" i="5"/>
  <c r="AH30" i="5"/>
  <c r="AH36" i="5" s="1"/>
  <c r="AH100" i="5" s="1"/>
  <c r="P43" i="5"/>
  <c r="G13" i="19"/>
  <c r="R52" i="5" l="1"/>
  <c r="Q74" i="5"/>
  <c r="R74" i="5"/>
  <c r="R100" i="5" s="1"/>
  <c r="Q21" i="5"/>
  <c r="Q100" i="5" s="1"/>
  <c r="Q85" i="5"/>
  <c r="Q89" i="5"/>
  <c r="V79" i="5"/>
  <c r="V89" i="5" s="1"/>
  <c r="V21" i="5"/>
  <c r="V100" i="5" s="1"/>
  <c r="W100" i="5"/>
  <c r="W10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tc={085543DA-5F45-4074-BA4A-22364017AB9D}</author>
    <author>tc={E9E7FAA3-0387-4D1D-AC7D-2B3107F49F62}</author>
  </authors>
  <commentList>
    <comment ref="F2" authorId="0" shapeId="0" xr:uid="{00000000-0006-0000-0100-000002000000}">
      <text>
        <t>[线程批注]
你的Excel版本可读取此线程批注; 但如果在更新版本的Excel中打开文件，则对批注所作的任何改动都将被删除。了解详细信息: https://go.microsoft.com/fwlink/?linkid=870924
注释:
    基础能力组件可加日志中心，提供标准的日志查询与分析能力</t>
      </text>
    </comment>
    <comment ref="F3" authorId="1" shapeId="0" xr:uid="{00000000-0006-0000-0100-000001000000}">
      <text>
        <t>[线程批注]
你的Excel版本可读取此线程批注; 但如果在更新版本的Excel中打开文件，则对批注所作的任何改动都将被删除。了解详细信息: https://go.microsoft.com/fwlink/?linkid=870924
注释:
    建议将AI纳入技术支撑体系，提高研发二线问题排查效率。验收标准：1. 过程指标AI 采纳率 (Adoption Rate)： 二线排查过程中，研发人员采纳 AI 提供的排查建议的比例需 50%。知识库自动转化率： 每次故障关闭后，由 AI 自动提取并生成的 FAQ 知识条目占比 80%。2. 结果指标MTTR (平均修复时间)： 引入 AI 后，二线排查的平均耗时需降低 20%。二线回退率： 因分析不准导致问题重复开启或回退到一线的比例降低 15%。</t>
      </text>
    </comment>
  </commentList>
</comments>
</file>

<file path=xl/sharedStrings.xml><?xml version="1.0" encoding="utf-8"?>
<sst xmlns="http://schemas.openxmlformats.org/spreadsheetml/2006/main" count="3239" uniqueCount="1801">
  <si>
    <t>序号</t>
  </si>
  <si>
    <t>归属中心</t>
  </si>
  <si>
    <t>项目</t>
  </si>
  <si>
    <t>目标</t>
  </si>
  <si>
    <t>阶段性成果计划（*月完成**）</t>
  </si>
  <si>
    <t xml:space="preserve"> 负责人</t>
  </si>
  <si>
    <t>状态</t>
  </si>
  <si>
    <t>是否自研</t>
  </si>
  <si>
    <t>考核专员</t>
  </si>
  <si>
    <t>2026年1月计划完成</t>
  </si>
  <si>
    <t>2026年1月实际完成</t>
  </si>
  <si>
    <t>2026年1月得分</t>
  </si>
  <si>
    <t>2026年1月得分备注</t>
  </si>
  <si>
    <t>2026年2月计划完成</t>
  </si>
  <si>
    <t>2026年2月实际完成</t>
  </si>
  <si>
    <t>2026年2月得分</t>
  </si>
  <si>
    <t>2026年2月得分备注</t>
  </si>
  <si>
    <t>2026年3月计划完成</t>
  </si>
  <si>
    <t>2026年3月实际完成</t>
  </si>
  <si>
    <t>2026年3月得分</t>
  </si>
  <si>
    <t>2026年3月得分备注</t>
  </si>
  <si>
    <t>2026年4月计划完成</t>
  </si>
  <si>
    <t>2026年4月实际完成</t>
  </si>
  <si>
    <t>2026年4月得分</t>
  </si>
  <si>
    <t>2026年4月得分备注</t>
  </si>
  <si>
    <t>2026年5月计划完成</t>
  </si>
  <si>
    <t>2026年5月实际完成</t>
  </si>
  <si>
    <t>2026年5月得分</t>
  </si>
  <si>
    <t>2026年5月得分备注</t>
  </si>
  <si>
    <t>智运业务中心</t>
  </si>
  <si>
    <t>完善系统预生产环境建设</t>
  </si>
  <si>
    <t>保证现有系统存在测试、预生产和生成3套环境</t>
  </si>
  <si>
    <t>汤昆桦</t>
  </si>
  <si>
    <t>进行中</t>
  </si>
  <si>
    <t>不涉及</t>
  </si>
  <si>
    <t>完成资源需求清单梳理</t>
  </si>
  <si>
    <t>与信息中心沟通资源问题</t>
  </si>
  <si>
    <t>集团系统效果测试</t>
  </si>
  <si>
    <t>已完成</t>
  </si>
  <si>
    <t>完成工会、造价、风控、车辆、科技创新、服务区、投资、内部商城、技术底座业务测试</t>
  </si>
  <si>
    <t>完成剩余业务系统测试工作</t>
  </si>
  <si>
    <t>完成测试问题整改工作</t>
  </si>
  <si>
    <t>配合大数据模型需求，申请增购算力服务器（转由研究院统一负责申报）</t>
  </si>
  <si>
    <t>将算力服务器增购需求方案上报信息中心纳入数转变更</t>
  </si>
  <si>
    <t>26年“1+3+N”项目</t>
  </si>
  <si>
    <t>上报信息中心集团系统26年新增功能需求及预算</t>
  </si>
  <si>
    <t>维护费用预算梳理</t>
  </si>
  <si>
    <t>26年建设内容调整，预算修订</t>
  </si>
  <si>
    <t>跟进预算批复情况，完成预算申请方案编制</t>
  </si>
  <si>
    <t>完成核心业务系统团队组建</t>
  </si>
  <si>
    <t>完成招聘需求上报</t>
  </si>
  <si>
    <t>完成团队人员配备梳理，并上报人员招聘计划</t>
  </si>
  <si>
    <t>完成第一批人员筛选、面试</t>
  </si>
  <si>
    <t>完成</t>
  </si>
  <si>
    <t>根据自维要求补充人员</t>
  </si>
  <si>
    <t>完成用户反馈组件对接</t>
  </si>
  <si>
    <t>部分自研、部分厂商处理</t>
  </si>
  <si>
    <t>1、跟进系统对接情况</t>
  </si>
  <si>
    <t>1、已经完成6个系统对接</t>
  </si>
  <si>
    <t>1、计划完成3个系统对接：</t>
  </si>
  <si>
    <t>完成3个系统对接</t>
  </si>
  <si>
    <t>已经完成12个平台对接</t>
  </si>
  <si>
    <t>计划完成5个系统对接（OA，党群，人力，投资，智慧服务区）</t>
  </si>
  <si>
    <t>完成在线帮助组件对接</t>
  </si>
  <si>
    <t>暂无</t>
  </si>
  <si>
    <t>暂未启动</t>
  </si>
  <si>
    <t>完成系统对接清单以及对接计划</t>
  </si>
  <si>
    <t>已完成，对接计划根据研究院实际情况待确认</t>
  </si>
  <si>
    <t>完成对接方案讨论，开展对接工作</t>
  </si>
  <si>
    <t>完成任务中心组件对接</t>
  </si>
  <si>
    <t>暂缓，优先完成问题反馈组件</t>
  </si>
  <si>
    <t>暂缓，优先完成问题反馈组件对接</t>
  </si>
  <si>
    <t>完成AI智能问数组件对接</t>
  </si>
  <si>
    <t>清单已完成，对接计划根据研究院实际情况待确认</t>
  </si>
  <si>
    <t>完成对接方案讨论</t>
  </si>
  <si>
    <t>重点任务</t>
  </si>
  <si>
    <t>人力资源系统</t>
  </si>
  <si>
    <t>康子健</t>
  </si>
  <si>
    <t>否</t>
  </si>
  <si>
    <t>1、完成人力资源系统所有功能开发（除接口需求以外）
2、完成和财务预算接口数据的需求对接；
3、完成用户测试；
4、完成系统人力系统合同签订及成本计量；</t>
  </si>
  <si>
    <t>1、完成人力资源系统所有功能开发（除接口需求以外）
2、完成和财务预算接口数据的需求对接；
3、完成用户测试，目前已收集55项新增，主要异动流程和薪酬模块；
4、完成系统人力系统合同签订及成本计量；</t>
  </si>
  <si>
    <t>1、完成用户测试；
2、完成和财务系统预算对接，测试环境对接；</t>
  </si>
  <si>
    <t>1、已完成用户测试，目前薪酬测试正在进行算薪；
2、完成和财务系统预算对接，测试环境对接；已做视图给数据中台，财务也拿到数据中台相关数据。</t>
  </si>
  <si>
    <t>1、完成与财务系统生产环境对接；
2、完成薪酬测试，并在试运行单位进行算薪；
3、完成试运行单位问题收集；</t>
  </si>
  <si>
    <t>1、完成与财务系统生产环境对接，包括工资代发单、薪酬报账单；预算模块：运营机构明细表、人员情况表、人员情况明细表、人力成本预算表；
2、完成薪酬测试，并在试运行单位进行算薪，已完成邵阳分公司、联网公司、工程公司进行算薪；
3、完成试运行单位问题收集及问题修复；
4、完成合同数据、职称数据迁移；</t>
  </si>
  <si>
    <t>1、完成集团新人力资源系统全集团培训、包括培训操作手册、培训视频、培训PPT；
2、完成新人力系统业务流程配置，主要包括人事类流程、考勤类流程、薪酬类流程；
3、完成新老人力资源系统出国境证件信息迁移。
4、完成问题反馈平台对接；
5、完成新系统在生产环境计算工作并推送给财务系统；</t>
  </si>
  <si>
    <t>招采平台</t>
  </si>
  <si>
    <t>鲁子阳</t>
  </si>
  <si>
    <t>是</t>
  </si>
  <si>
    <t xml:space="preserve">
1.组织开发优化需求；
2.组织问题处理
3.保障信科推广试标。
--
整体情况
1.共提出1339项优化项，完成1206项，剩余99个优化及需求。
2.共发现864个bug,已处理776个，剩余88个bug。</t>
  </si>
  <si>
    <t xml:space="preserve">
1.完成34个优化需求开发；
2.完成76个bug修复。
3.集采-询比流程 已完成1个，自采-简易询比项目已完成2个，自采-双信封-询比已完成1个。
</t>
  </si>
  <si>
    <t>1.组织开发优化需求
2.组织问题处理
3.保障生产运行，全场景使用。
--
整体情况
1.共提出1339项优化项，完成1240项，剩余99个优化及需求。
2.共发现876个bug,已处理850个，剩余26个bug。</t>
  </si>
  <si>
    <t>1.完成66个优化需求开发；
2.完成29个bug修复;
3.集采-询比流程 已完成1个，自采-简易询比项目已完成4个，自采-双信封-询比已完成2个</t>
  </si>
  <si>
    <t>1.组织开发优化需求
2.组织问题处理
3.保障生产运行，全场景使用。
--
整体情况
1.共提出1352项优化项，完成1306项，剩余46个优化及需求。
2.共发现913个bug,已处理879个，剩余26个bug。</t>
  </si>
  <si>
    <t>1.完成56个优化需求开发；
2.完成84个bug修复;
3.累计保障14个生产项目开评标。</t>
  </si>
  <si>
    <t>1.组织开发优化需求
2.组织问题处理
3.保障生产运行，全场景使用。
--
整体情况
1.共提出1417项优化项，完成1306项，剩余46个优化及需求。
2.共发现999个bug,已处理963个，剩余36个bug。</t>
  </si>
  <si>
    <t>内部商城</t>
  </si>
  <si>
    <t>陈凯</t>
  </si>
  <si>
    <t>1、完成调价规则的上线
2、完成电商商品目录和商品类别的确定</t>
  </si>
  <si>
    <t>1、已完成调价规则的上线
2、已完成电商商品目录和商品类别的确定，并告知了京东、得力、苏宁通知其进行选品工作。</t>
  </si>
  <si>
    <t>1、完成低值耗材商品的选品工作
2、完成部分商品的项目试运行工作。</t>
  </si>
  <si>
    <t>1、已完成京东、苏宁、得力三家电商平台的选品工作。
2、完成打印纸等耗材的上架试运行工作。</t>
  </si>
  <si>
    <t>1、计划完成大宗材料商品的全面运行工作。
2、计划完成低值耗材购买全流程的试运行工作。</t>
  </si>
  <si>
    <t>1、已经开始推广大宗材料商品的全面运行工作。
2、完成低值耗材板块试运行工作的发文与培训工作。</t>
  </si>
  <si>
    <t>1、支撑长沙分公司与信科公司低值耗材的试点工作。
2、完成3月份的新版本需求与迭代。
3、完成新招采平台与内部商城的对接方案定稿、设计工作并与业务部门签字确认。</t>
  </si>
  <si>
    <t>全过程造价</t>
  </si>
  <si>
    <t>陶淇晟</t>
  </si>
  <si>
    <t>1、完成造价V1.3版本迭代上线
2、开始进行指标收集、设计</t>
  </si>
  <si>
    <t>1、OA、造价已经完成测试，待与业主汇报通过后进行上线
2、已完成部分指标收集</t>
  </si>
  <si>
    <t>1、完成系统演示，演示通过后进行上线，目前暂定使用桂郴、王耒作为试点项目
2、完成指标监控模块初步设计：https://indimonitor-zbvtrbuj.manus.space/</t>
  </si>
  <si>
    <t>1、完成基础业务系统造价改造上线（OA、数据中台、合同系统），并开始进行项目试点；
2、指标监控模块开发完成60%</t>
  </si>
  <si>
    <t>1、已经开始桂郴、株耒及临岳长项目正式试点工作，目前收集到一个问题，已经处理。
2、指标监控模块开发进度完成60%。并已启动造价管理整个模块的整改工作</t>
  </si>
  <si>
    <t>1、支撑造价试点工作，督促完成历史数据补录；
2、完成监控预警模块开发、上线，完成造价管理模块列表界面改造
3、完成驾驶舱初版开发</t>
  </si>
  <si>
    <t>经营分析系统二期</t>
  </si>
  <si>
    <t>赵慧环</t>
  </si>
  <si>
    <t>完成经营看板改版、项目看板、项目预警和年度重点任务管理上线</t>
  </si>
  <si>
    <t>1、完成经营看板改版、项目看板、项目预警和年度重点任务管理上线。
2、给经营部完成年度重点任务管理用户培训</t>
  </si>
  <si>
    <t>1）需求任务:计划完成合作方管理需求设计和确认；
（2）开发任务:经营看板优化实现。</t>
  </si>
  <si>
    <t>（1）开发任务:项目看板全过程优化改造
（2）需求任务:组织机构维度看板原型调整确认。</t>
  </si>
  <si>
    <t xml:space="preserve">（1）开发任务:项目全过程优化改造已发版上线
（2）需求任务:组织机构维度看板原型调整确认。
</t>
  </si>
  <si>
    <t>（1）采购订单需求确认及开发；
（2）计量管理优化改造（计量明细同步合同清单或订单清单等优化）
（3）业务导航图开发
（4）商务跟踪台账开发</t>
  </si>
  <si>
    <t>25年档案系统整改</t>
  </si>
  <si>
    <t>何晓婕</t>
  </si>
  <si>
    <t>要求紫光完成问题整改，提交源代码</t>
  </si>
  <si>
    <t>紫光合同未签订，未能提前开发及提交代码</t>
  </si>
  <si>
    <t>要求紫光与华联签订合同，2月未完成合同签订</t>
  </si>
  <si>
    <t>紫光与华联合同未签订完成，未开发提交源代码</t>
  </si>
  <si>
    <t>紫光与华联合同未签订完成后要求开发并提交源代码</t>
  </si>
  <si>
    <t>数据治理</t>
  </si>
  <si>
    <t>仇伊君</t>
  </si>
  <si>
    <t>1.领导驾驶舱根据集团领导反馈意见持续优化
2.数据交换需求:完成勘察院平台数据对接、厅路网数据对接、一张网服务区接口开发、粤湘数据交换需求对接以及重载数据对接
3.数据治理：根据数据交换需求、驾驶舱场景和大运营、建管和集团管控优先完成相关系统数据治理工作，同步进行数据编目资源挂接
4、图商数据挂接：测试批量挂载工具，以基础桥梁、隧道为示例，进行挂载验证</t>
  </si>
  <si>
    <t>1、领导驾驶舱增加组织权限，并根据领导反馈意见优化对内总舱
2、基于数转需求 完成勘察院平台3个需求，厅路网28个需求，一张网服务区11个需求开发并输出对应接口文档，重载数据kafka集群已部署完成待业务方平台部署后对接相关需求
3、数据治理完成按需接入43个张ODS表，同时完成43个DWD模型建模与43个标准落标。 完成运营管理版块关于基础设施、养护管理业务下的11个DWS模型设计与开发工作，同时完成11个DWS模型的编目挂载与接口开发
4、图商数据挂接基于主数据实体，完成门架500+、摄像头7000+数据与百度高精地图数据进行经纬度匹配，通过二、三维地图打点对未匹配数据进行二次验证并输出匹配验证报告</t>
  </si>
  <si>
    <t>1.领导驾驶舱根据集团领导反馈意见持续优化；
2.数据交换需求:根据优先级完成相关的数据交换需求；
3.数据治理：根据数据交换需求、驾驶舱场景和大运营优先完成相关系统数据治理和模型设计，并进行数据编目资源挂接
4.图商数据挂接：对门架、摄像头等主数据实体进行匹配以及挂载</t>
  </si>
  <si>
    <t>1、领导驾驶舱：领导驾驶舱根据集团领导反馈意见对对内总舱进行优化，并对驾驶舱数据进行治理
2、完成车辆管理、人力、联网收费和统一流程引擎等业务系统接口开发与联调，路网监测动态参数定制化脚本开发以及脚本规范化整改
3、数据建模完成内容：2月分完成大运营板块模型设计，并基于评审结果对模型进行优化调整，完成模型的开发工作并进行编目挂载。
4、完成主数据中收费门架、摄像头与百度地图数据的匹配工作，并对未匹配数据进行二次验证，同时输出匹配结果报告</t>
  </si>
  <si>
    <t>1.领导驾驶舱移动端集团管控和对内总舱 UI 设计及启动开发
2.数据交换需求:根据优先级完成相关的数据交换需求；
3.数据治理：根据数据交换需求、驾驶舱场景和集团管控、产业经营完成相关系统数据治理和模型设计，并进行数据编目资源挂接
4.图商数据挂接：对图商数据进行稽核以及匹配（完成 50%）
5.指标体系：集团汇总指标清单调研和梳理口径定义，并对定开指标进行开发，各业务板块已开发指标进行纳管</t>
  </si>
  <si>
    <t>1.产业经营、资产及合同移动端 UI 设计及启动开发
2.数据交换需求:根据优先级完成相关的数据交换需求；
3.数据治理：根据数据交换需求、集团管控、大运营完成相关系统数据治理和模型设计，并进行数据编目资源挂接
4.主数据及图商数据挂接：离线主数据数据治理稽核及分发，并对图商数据进行稽核以及匹配
5.指标体系：对定开指标进行开发，各业务板块已开发指标进行纳管</t>
  </si>
  <si>
    <t>完成预测模型构建</t>
  </si>
  <si>
    <t>1、完成23至25年路段门架流水数据采集
2、完成训练数据集预处理以及线性算法模型训练</t>
  </si>
  <si>
    <t>1、已完成数据采集
2、已完成线性算法模型训练</t>
  </si>
  <si>
    <t>非线性模型算法训练，训练数据预处理</t>
  </si>
  <si>
    <t>开展LSTM算法训练，初步构建以月为时间粒度的数据集并进行训练，由于粒度过大、时间步数量少，效果不佳。后续构建以日为时间粒度的数据集，预测未来90天的收费额，再统计月度收费额，以预测未来3个月的收费额。</t>
  </si>
  <si>
    <t>LSTM训练与优化
iTransformer训练与优化</t>
  </si>
  <si>
    <t xml:space="preserve">1.初次训练：构建LSTM深度学习模型，采用2023.1~2025.11月数据集进行训练，3、6、9月精度较高，加权误差（WMAPE）10~11%；2、4、10、11月精度适中，误差14~15%；7、8月精度较低，18~21%；
2.模型优化：针对7~8月份暑期、春节五一国庆节假日特征，增加更多时间特征、滞后特征、差分特征，以捕捉收费额变化趋势；增加模型层数、神经元数量与训练轮数，测试提升模型复杂度对于结果的影响；增加批归一化层，加速训练并提高稳定性。优化后模型结果中，7月误差较上一版本下降2.7%，8月下降1.8%，其他月份无明显变化。
3.数据采集：2025年12月-2026年2月以及2020年到2022年的收费额数据
</t>
  </si>
  <si>
    <t>1.训练集扩充至2010~2026年；尝试多站点合并训练、分组训练的模式；增加能表达收费额变化趋势的特征，增强模型对于关键因素的注意力；
2.2020年之前的收费额数据补采集</t>
  </si>
  <si>
    <t>承接主数据平台</t>
  </si>
  <si>
    <t>接收主数据平台，实现主数据需求内部消化</t>
  </si>
  <si>
    <t>完成主数据平台首轮业务培训</t>
  </si>
  <si>
    <t xml:space="preserve"> 支撑统一基础数据实施工作</t>
  </si>
  <si>
    <t>集团信息化系统代码接收、自维</t>
  </si>
  <si>
    <t>刘明强</t>
  </si>
  <si>
    <t>1.经营分析系统自研接手，搭建测试环境，完成代码验证</t>
  </si>
  <si>
    <t>统一门户系统自研接手，搭建测试环境，完成代码验证</t>
  </si>
  <si>
    <t>资产管理系统自研接手，搭建测试环境，完成代码验证</t>
  </si>
  <si>
    <t>1.完成投资系统高速集团投资计划与投资预算打通自研任务</t>
  </si>
  <si>
    <t>系统自研（0413新增）</t>
  </si>
  <si>
    <t>基于统一开发框架，完成审计，纪检两个系统的重新开发</t>
  </si>
  <si>
    <t>智慧服务区</t>
  </si>
  <si>
    <t>1.完成116对服务区数字化改造
2.加油系统推广使用（79对，待业主确定本年目标）
3.充电系统完成新开路段接入及保障工作（待业主确定本年目标）</t>
  </si>
  <si>
    <t>刘乘风</t>
  </si>
  <si>
    <t>1.完成30对服务区设备信息收集；
2.完成现有服务区基础信息完善及收集；
3.完成基础信息功能优化上线，提供三湘畅行数据；</t>
  </si>
  <si>
    <t>1.完成68对服务区设备信息收集；
2.完成现有服务区基础信息收集及录入系统。
3.完成服务区基础信息优化功能上线，同步目前系统已有服务区基础信息及设施信息给三湘畅行。</t>
  </si>
  <si>
    <t>1.完成50对卡口数据接入服务区平台。
2.配合完成信息中心系统测试；3.完成项目部系统自查及系统演示</t>
  </si>
  <si>
    <t>1.完成平台50对卡口数据接入服务区平台。
2.配合信息中心完成系统测试和部分优化建议修复。
3.完成根据项目部要求系统自查和系统演示，并制定排期计划</t>
  </si>
  <si>
    <t>1.推进外场实施进度，完成已实施完成的服务区设备数据接入物联网平台及服务区平台。
2.针对交通部绩效考核相关材料及文件进行输出。
3.完成服务区平台和主数据对接并推送数据</t>
  </si>
  <si>
    <t>1.推进外场实施进度，完成已实施的设备接入至平台。2.完成七横七纵方案编制。3.完成造价功能点开发完成并上线。4.推进服务区平台在服务区公司推广使用</t>
  </si>
  <si>
    <t>服务区任务中心对接试点</t>
  </si>
  <si>
    <t>1月底：完成场景梳理和接入时间计划
3月底：完成现有场景对接</t>
  </si>
  <si>
    <t>1.完成场景梳理及接入时间计划</t>
  </si>
  <si>
    <t>1.推进计划的任务类型与统一待办事项对接。</t>
  </si>
  <si>
    <t>1.由于交通部绩效考核，针对项目未完成部分工作进行赶工，故对接任务调整至3月底完成。</t>
  </si>
  <si>
    <t>1.推进服务区与任务中心试点</t>
  </si>
  <si>
    <t>1、完成任务中心生产环境正式上线</t>
  </si>
  <si>
    <t>数据底座和数据运营</t>
  </si>
  <si>
    <t>完成数据底座建设，数据运营产品市场化试点</t>
  </si>
  <si>
    <t>刘佶豪</t>
  </si>
  <si>
    <t>-10
未按要求填写计划
-10
未按要求填写进度</t>
  </si>
  <si>
    <t>数字底座任务包含9个子项，统一认证平台、数字孪生、AI大模型能力平台已基本完成开发及部署安装，其中统一认证平台正在进行内外部用户的接入，待完成后开展C端用户的接入工作，整体预计3月底完成。数字孪生平台正在对前端驾驶舱做迁移工作，总计4个场景，其中2个进行中，2个未开始；地理信息平台、物联网平台的成品软件已完成检测，进入质保阶段。其中地理信息平台正在进行与路网系统的对接开发工作。物联网平台的重点工作在于长沙现代投干线管控试点设备接入（正在解决前期准备工作）和79对服务区物联网接入（已接入29对服务区，目前施工进度可能滞后，导致整体逾期）；云平台中，公有云已经构建云资源需求申请流程对外提供服务，进入质保阶段。私有云已经完成部署对外提供服务；网络安全与数据安全，已完成对省中心监控网安全情况的摸底，业务系统、终端、运维人员组织架构等情况整理，施工计划已制定并正在执行中。</t>
  </si>
  <si>
    <t>1、完成一张网、干线管控、路网监测场景的内外部用户接入统一认证；完成一张网的C端用户的接入
2、数字孪生平台对前端驾驶舱做迁移工作
3、物联网平台持续接入各场景设备
4、开展高精地图 - 数据挂接
5、网络安全集团已批复设备部署</t>
  </si>
  <si>
    <t>1、已完成一张网、干线管控、路网监测场景的内外部用户接入统一认证；已完成一张网的C端用户的接入，待一张网发布
2、已完成星沙孪生场景前端驾驶舱做迁移工作
3、物联网平台3月份接入大约3000个设备（三目卡口、智能电表、危化品车位监测、智慧厕所、客流监测、车位监测、激光雷达状态、毫米波雷达状态）
4、完成门架的数据挂接
5、已完成到货设备的部署</t>
  </si>
  <si>
    <t>1、完成私有云平台的部署及资源开通
2、完成数据中台和AI大模型平台上云部署
3、物联网平台持续接入各场景设备</t>
  </si>
  <si>
    <t>产品化转型</t>
  </si>
  <si>
    <t>构建“经营管理数据化+决策驾驶舱体系”</t>
  </si>
  <si>
    <t>2026年建管平台项目</t>
  </si>
  <si>
    <t>完成建养衔接的数据推送、建管平台内容优化升级</t>
  </si>
  <si>
    <t>1月底：完成第一版全过程造价对接改造 
3月底：
     1、完成建养衔接的数据推送
     2、完成非高项目模式的上线；
 9月底：
      1、完成计划管理模块上线 ；</t>
  </si>
  <si>
    <t>尹磊</t>
  </si>
  <si>
    <t>1.完成第一版全过程造价对接改造</t>
  </si>
  <si>
    <t xml:space="preserve">1.完成第一版全过程造价对接改造 </t>
  </si>
  <si>
    <t>1.完成造价情况一览表的相关优化和联调。
2.完成系统实施运维问题的总结和相关的实施工具的开发</t>
  </si>
  <si>
    <t>1.对非高项目模式的业主调研和平台搭建</t>
  </si>
  <si>
    <t>1.完成对非高项目模式的业主调研和平台搭建</t>
  </si>
  <si>
    <t>将工地信息化系统（如拌合站监控、智慧梁场、实验室管理、现场视频、智能压实等）集成至统一监管平台，实现数据接入、功能内置与智能分析；</t>
  </si>
  <si>
    <t>3月底：完成拌合场（水泥、沥青）集成；
6月底：实验室、水稳场完成系统集成；
9月底：完成集成智慧梁场系统对接；</t>
  </si>
  <si>
    <t>1.开始拌合场（水泥、沥青）系统的集成需求调研</t>
  </si>
  <si>
    <t>1.完成拌合场系统的学习</t>
  </si>
  <si>
    <t>1.完成拌合场（水泥、沥青）集成</t>
  </si>
  <si>
    <t>1、开始实验室系统的集成</t>
  </si>
  <si>
    <t>一路多方平台建设</t>
  </si>
  <si>
    <t>4月25日前：一路多方系统完成管理需求调研、形成需求文档。
4月底：完成第三方软件安全扫描、整改
9月底：一路多方系统完成开发、上线</t>
  </si>
  <si>
    <t>1.完成一路多方集团平台的需求调研</t>
  </si>
  <si>
    <t>任务延期
-4分</t>
  </si>
  <si>
    <t>集团改扩建平台和工程类产业公司的生产系统需与建管平台数据打通，数据实现共享对接，避免同一数据多头录入和采集。</t>
  </si>
  <si>
    <t>3月底：
     1、完成无人机巡查对接 （桂郴无人机平台）
     2、完成造价站建管软件对接；
6月底：完成智慧监理软件对接；
8月底：集团无人机平台对接方案；
11月底：完成集团无人机平台对接；
12月底： 完成行业建管软件（质安局）数据对接</t>
  </si>
  <si>
    <t>1.完成跟桂郴无人机巡查系统对接的方案</t>
  </si>
  <si>
    <t>1.准备跟造价站系统进行对接
2、完成集团无人机平台对接</t>
  </si>
  <si>
    <t>1、完成跟造价站系统进行对接
2、完成集团无人机平台对接</t>
  </si>
  <si>
    <t>1、开始智慧监理系统对接</t>
  </si>
  <si>
    <t>运营管理平台</t>
  </si>
  <si>
    <t xml:space="preserve">全周期养护管理方法优化落地：规划-实施-考核-评估-优化
</t>
  </si>
  <si>
    <t>黄虎林</t>
  </si>
  <si>
    <t>完成养护工程立项，设计，施工需求调研</t>
  </si>
  <si>
    <t>已跟安运部沟通，目前根据集团下发运营流程文件，对系统中养护工程所涉及的流程进行原型图设计。</t>
  </si>
  <si>
    <t>进行养护工程流程改造开发工作</t>
  </si>
  <si>
    <t>已完成养护工程流程按照片区改造。</t>
  </si>
  <si>
    <t>完成养护工程变更、交工、计量请款设计需求调研与原型设计</t>
  </si>
  <si>
    <t>以操作者视角设计数据联动跳转（辅助决策）</t>
  </si>
  <si>
    <t>完成操作型界面需参考数据确认</t>
  </si>
  <si>
    <t>还在对养护模块，日常养护，养护工程等信息录入模块中填报字段信息数量</t>
  </si>
  <si>
    <t>完成操作型界面需参考数据确认，完成需求分析</t>
  </si>
  <si>
    <t>完成日常养护原型设计</t>
  </si>
  <si>
    <t>科学决策完善</t>
  </si>
  <si>
    <t>完成隧道科学决策需求调研，并输出需求文档</t>
  </si>
  <si>
    <t>完成隧道科学决策需求调研，输出了初版需求规格说明书和项目计划</t>
  </si>
  <si>
    <t>完成路面科学决策优化，搭建隧道科学决策系统；</t>
  </si>
  <si>
    <t>已完成路面科学决策系统优化，并接入到运营平台中</t>
  </si>
  <si>
    <t>完成路面科学决策试运行</t>
  </si>
  <si>
    <t>基础数据推广</t>
  </si>
  <si>
    <t>1.完成长沙莲花管理所，怀化安江管理所基础数据的录入与核对。</t>
  </si>
  <si>
    <t>推进安运部进行全省数据录入</t>
  </si>
  <si>
    <t>正在与安运部沟通协调此事</t>
  </si>
  <si>
    <t>完成全省基础数据录入通知发布，完成第二次基础数据培训</t>
  </si>
  <si>
    <t>进行日常养护界面原型梳理</t>
  </si>
  <si>
    <t>机电长周期养护总承包模式支撑</t>
  </si>
  <si>
    <t>进行机电自养项目调研</t>
  </si>
  <si>
    <t>已完成机电自养项目初步调研</t>
  </si>
  <si>
    <t>机电自养完成需求调研（机电事业部、机电分公司）</t>
  </si>
  <si>
    <t>由山东高速进行机电总承包设计，运营平台提供数据对接</t>
  </si>
  <si>
    <t>完成机电建设，日常养护，设备接入流程设计，包括计量，验收环节，检查签字，向安运部汇报，纳入集团管理制度。</t>
  </si>
  <si>
    <t>运营平台可视化看板升级</t>
  </si>
  <si>
    <t>1.完成三个视角看板开发工作</t>
  </si>
  <si>
    <t>1.完成三个看板的初步开发工作（已上线）</t>
  </si>
  <si>
    <t>优化全过程业务管理功能开发</t>
  </si>
  <si>
    <t>已完成初版，目前还在持续优化中</t>
  </si>
  <si>
    <t>完成新首页入口上线</t>
  </si>
  <si>
    <t>存在5个功能点交付质量有问题 -20分</t>
  </si>
  <si>
    <t>流程看板完成需求、设计。</t>
  </si>
  <si>
    <t>病害全周期精细化管理</t>
  </si>
  <si>
    <t>未开始</t>
  </si>
  <si>
    <t>系统对接:施工许可申报系统</t>
  </si>
  <si>
    <t>系统对接:应急资源系统</t>
  </si>
  <si>
    <t>系统对接:视频国标平台</t>
  </si>
  <si>
    <t>系统对接:集团采购平台</t>
  </si>
  <si>
    <t>平台对接：物联网设备平台</t>
  </si>
  <si>
    <t>实现与物联网设备接入管理</t>
  </si>
  <si>
    <t>进行大湾隧道群与机电台账设备对应工作</t>
  </si>
  <si>
    <t>春运期间还未上路施工</t>
  </si>
  <si>
    <t>完成物联网设备接入流程设计、开发</t>
  </si>
  <si>
    <t>APP优化：病害上报</t>
  </si>
  <si>
    <t>与创新研究院对接养护数据，并形成任务和计划表</t>
  </si>
  <si>
    <t>完成需求调研。</t>
  </si>
  <si>
    <t>APP优化：抗冰除雪全过程管理</t>
  </si>
  <si>
    <t>智能任务派发与进度跟踪升级</t>
  </si>
  <si>
    <t>对接任务中心完成巡查计划自动生成、派发</t>
  </si>
  <si>
    <t>1、完成需求调研、需求设计
2、和安运部确认需求</t>
  </si>
  <si>
    <t>完成AI数据规范处理</t>
  </si>
  <si>
    <t>3月底：
       1、完成对日常养护的病害造价分析所需数据调研工作，建立基本造价模型；
4月底：
       1、增加图片AI质量审查功能；
       2、图片识别算法跟进。
       3、设计病害识别人工标注审核流程（时间调整：由3-4）
5月底：
       1、完成数据规范录入；
       2、完成病害识别人工标注审核流程开发
12月底：日常养护病害造价费用AI预测结果引入到审批页面，作为辅助决策使用</t>
  </si>
  <si>
    <t>黄虎林陈双双</t>
  </si>
  <si>
    <t>1、完成对日常养护的病害造价分析所需数据调研工作，建立基本造价模型；
       2、设计病害识别人工标注审核流程</t>
  </si>
  <si>
    <t>将数据通过线下方式和中台提供给设计院</t>
  </si>
  <si>
    <t>病害人工标注流程任务延时交付 -8分</t>
  </si>
  <si>
    <t xml:space="preserve">      1、增加图片AI质量审查功能；
       2、图片识别算法跟进。</t>
  </si>
  <si>
    <t>单个病害处置方案模型</t>
  </si>
  <si>
    <t>完成单个病害处理方案模型开发、训练（优先路面、土建板块）</t>
  </si>
  <si>
    <t>3月底：完成建模
4月底：完成模型训练
5月底：完成模型发版（达到70%可信度）</t>
  </si>
  <si>
    <t>黄虎林/尹逊帅</t>
  </si>
  <si>
    <t>完成路面病害养护材料清单预测模型开发</t>
  </si>
  <si>
    <t>已完成路面病害养护材料清单预测模型开发</t>
  </si>
  <si>
    <t>完成模型训练</t>
  </si>
  <si>
    <t>基础设施监测预警平台</t>
  </si>
  <si>
    <t>1.完成普通公路及BOT高速的结构物在省级平台的接入
2、完成所有桥隧、边坡的数据接入、展示</t>
  </si>
  <si>
    <t>陈干</t>
  </si>
  <si>
    <t>1、运营平台的基础数据字段调研
2、对接运营平台的基础信息接口
3、开始原型设计</t>
  </si>
  <si>
    <t>1、完成基础数据的字段的初步调研，
2、完成与基础信息接口的对接
3、跟集团确认需求，启动原型设计</t>
  </si>
  <si>
    <t>1、原型设计、开发排期
2、启动具体开发工作</t>
  </si>
  <si>
    <t>1、完成原型设计约85%，开发任务排期
2、开始开发工作，计划3月底完成</t>
  </si>
  <si>
    <t>1、完成原型设计，运营平台配合工作的梳理并排期开发任务
2、完成开发上线，一处构筑物的试点</t>
  </si>
  <si>
    <t>1、完成原型设计；
2、运营平台配合数据api字段的梳理；
3、数据中台完成接口开发；
4、正在进行桥隧坡驾驶舱的调试；</t>
  </si>
  <si>
    <t>1、完成全部开发联调工作，完成功能上线。
2、实现桥、隧、坡一个试点，实现数据卡片的效果</t>
  </si>
  <si>
    <t>桥梁数字化管养</t>
  </si>
  <si>
    <t>1.完成平台建设
2.完成剩余BIM模型的开发</t>
  </si>
  <si>
    <t>邓茗畅</t>
  </si>
  <si>
    <t>1.驾驶舱、BIM模型整体优化
2.64座桥梁数据录入。
3.桥梁科学决策功能优化（马而科夫算法优化）。
4.日常巡查、方案库数据对接。</t>
  </si>
  <si>
    <t xml:space="preserve">1.完成64座桥梁数据录入（数据来源大运营）
2.完成桥梁BIM模型优化（未最终确认）。
</t>
  </si>
  <si>
    <t>1.日常巡查、方案库数据对接。
2.桥梁科学决策管养功能优化。
3.桥梁数量确认事项。
4.BIM模型数量确认事项。</t>
  </si>
  <si>
    <t>1.完成系统功能优化。
2.确认BIM模型数量确认事项。
3.数据接入完成75%。</t>
  </si>
  <si>
    <t>1.完成项目阶段性评审会议功能调整。
2.BIM建模事项确认。</t>
  </si>
  <si>
    <t>1.完成系统功能优化与调整（70%）。
2.完成BIM建模事项确认。
3.完成部分桥梁BIM结构化数据。</t>
  </si>
  <si>
    <t>1.完成业主提出的优化需求。
2.完成100座桥梁BIM建模（已完成68座）
3.再次开展阶段性评审会。</t>
  </si>
  <si>
    <t>融冰系统</t>
  </si>
  <si>
    <t>1.接入湘西历史数据。
2.融冰企业标准文档制作。
3.外场设备安装部署（机电负责）。</t>
  </si>
  <si>
    <t xml:space="preserve">1.完成历史数据接入。
2.完成企业标准文档制作。
</t>
  </si>
  <si>
    <t>1.外场设备接入与调试。
2.阶段性评审会议。
3.企标文档内部评审会议</t>
  </si>
  <si>
    <t>1.完成阶段性评审会。
2.完成企标内部评审会。</t>
  </si>
  <si>
    <t>1.完成会议上内容调整（系统功能、企标文档）。
2.外场设备接入与调试。</t>
  </si>
  <si>
    <t>1.完成部分系统功能调整（75%）
2.完成硬件设备调试。</t>
  </si>
  <si>
    <t>1.完成企标内部评审会议。
2.完成系统功能优化与界面优化。</t>
  </si>
  <si>
    <t>智慧隧道</t>
  </si>
  <si>
    <t>刘港</t>
  </si>
  <si>
    <t>1、确认雪峰山问题清单并整改
2、完成雪峰山隧道和大湾隧道群之间的联动的需求确认，和感动确认路网应急对隧道的管控需求</t>
  </si>
  <si>
    <t>1、软件部分整改完成80%
2、已完成雪峰山隧道和大湾隧道群之间的联动的需求确认，已完成和感动确认路网应急对隧道的管控需求</t>
  </si>
  <si>
    <t>1、完成雪峰山问题整改
2、完成雪峰山隧道和大湾隧道群之间的联动开发、发版；配合感动科技完成路网应急对隧道的管控开发、发版。</t>
  </si>
  <si>
    <t>1、雪峰山问题清单整改软件信息化部分已完成。
2、目前已完成：隧道和路网两方的开发工作6号基本完成，目前感动已经提交了 隧道系统上报到调度系统网络打通申请流程，现在是吴威审批中，感动的人在跟催。网络打通后，隧道和路网两方做一下接口联调工作就完成了。</t>
  </si>
  <si>
    <t>1、隧道团队熟悉隧道相关业务情况；
2、隧道团队关于湖南省高速隧道的平台建设规划思路沟通。</t>
  </si>
  <si>
    <t>1、隧道团队基本了解隧道相关系统和业务情况；
2、已完成隧道产品化改造思路和里程碑计划。</t>
  </si>
  <si>
    <t>1、大湾隧道群管控和孪生系统测试、调整
2、三方测试功能清单完善
3、隧道产品化改造内容汇报</t>
  </si>
  <si>
    <t>建管、大运营</t>
  </si>
  <si>
    <t>已对接</t>
  </si>
  <si>
    <t>待确认</t>
  </si>
  <si>
    <t>陈勇</t>
  </si>
  <si>
    <t>熟悉在线帮助组件</t>
  </si>
  <si>
    <t>已熟悉</t>
  </si>
  <si>
    <t>研究对接方式，准备需求调研</t>
  </si>
  <si>
    <t>熟悉任务中心组件</t>
  </si>
  <si>
    <t>完成对接系统梳理，开始需求调研</t>
  </si>
  <si>
    <t>熟悉AI智能问数组建</t>
  </si>
  <si>
    <t>完成对接系统梳理，研究对接方式，准备需求调研</t>
  </si>
  <si>
    <t>开始智慧隧道团队组件</t>
  </si>
  <si>
    <t>已组件开发团队介入</t>
  </si>
  <si>
    <t>开始隧道需求、实施团队组建
同时开始桥隧坡团队的组建</t>
  </si>
  <si>
    <t>完成智能巡查系统上线运行</t>
  </si>
  <si>
    <t>完成巡检设备部署，平台上线试运行工作。</t>
  </si>
  <si>
    <t>方博</t>
  </si>
  <si>
    <t>完成设备到货，平台本地部署，功能界面开发</t>
  </si>
  <si>
    <t>14套设备已经到货，平台关键模块（驾驶舱 ，巡检管理，病害档案，统计中心，设备管理，角色管理）均已经上线，系统部署在集团内网，益阳分公司管理所安装2套</t>
  </si>
  <si>
    <t>完成分公司设备安装，并采
集实际桩号，组织集中培训</t>
  </si>
  <si>
    <t>已在益阳南管理所、桃江管理所完成设备安装，并采集实际桩号，组织线上培训工作。</t>
  </si>
  <si>
    <t>完成分公司，管理所实际调研，
出具试运行报告和培训通稿，后续铺开部署</t>
  </si>
  <si>
    <t>已完成目前试运行问题收集和大版本更新。</t>
  </si>
  <si>
    <t>完成分公司管理所问题点确认，重点优先解决病害定位、去重，推送数据量过多问题。</t>
  </si>
  <si>
    <t>已完成初步的签字确认工作。</t>
  </si>
  <si>
    <t>构建“建管养一体化数字业务模型”，支撑工程+养护全过程数字化。</t>
  </si>
  <si>
    <t>联网路网业务中心</t>
  </si>
  <si>
    <t>编制相关核心系统的冗余方案，组织实施。</t>
  </si>
  <si>
    <t>周全</t>
  </si>
  <si>
    <t>进行高可用方案方案梳理和评审</t>
  </si>
  <si>
    <t>完成高可用方案梳理，与项目组、厂商进行方案评审</t>
  </si>
  <si>
    <t>评估流程引擎高可用资源需求，进行扩展所需资源申请，制定实施方案</t>
  </si>
  <si>
    <t>已完成流程引擎可可用部署的方案设计和资源申请</t>
  </si>
  <si>
    <t>推进泛微厂商部署实施</t>
  </si>
  <si>
    <t>完成具体部署实施方案的编制以及评审</t>
  </si>
  <si>
    <t>制定部署实施计划，推进厂商部署是实施</t>
  </si>
  <si>
    <t xml:space="preserve">数转、新新、云溪、石湾、耒宜、 零道、桂新共32个数智云收费站项目
</t>
  </si>
  <si>
    <t>1月底前：
（1）完成数字化转型项目4个数智云收费站的建设。</t>
  </si>
  <si>
    <t>1月底前：
    （1）完成设备到位。
1月底前：
    （2）完成收费站建设。</t>
  </si>
  <si>
    <t>徐椿乔</t>
  </si>
  <si>
    <t>交付项目</t>
  </si>
  <si>
    <t>完成各收费站第一批开通</t>
  </si>
  <si>
    <t>除张家界西外，其他3站均已完全开通</t>
  </si>
  <si>
    <t>完成值守工作</t>
  </si>
  <si>
    <t>已完成值守工作</t>
  </si>
  <si>
    <t>跟进商务进度</t>
  </si>
  <si>
    <t>改项目相关成本收入均放在机电部，我们不做相关处理</t>
  </si>
  <si>
    <t>1月底前：
    （1）完成新新11个数智云收费站的建设。</t>
  </si>
  <si>
    <t>完成开通</t>
  </si>
  <si>
    <t>11个站均已顺利开通</t>
  </si>
  <si>
    <t>机电部回款97%。目前未回款的中冶预计7月份回款40%，葛洲坝预计8月份回款40%</t>
  </si>
  <si>
    <t>1月底前：
    （1）完成石湾1个数智云收费站的建设。</t>
  </si>
  <si>
    <t>顺利开通</t>
  </si>
  <si>
    <t>目前未回款的，预计8月份回款40%</t>
  </si>
  <si>
    <t>2月底前：
    （1）完成云溪1个数智云收费站的建设。</t>
  </si>
  <si>
    <t>1月底前：
    （1）完成设备到位。
2月底前：
    （2）完成收费站建设。</t>
  </si>
  <si>
    <t>完成第一批开通</t>
  </si>
  <si>
    <t>顺利完成第一批开通</t>
  </si>
  <si>
    <t>正在进行值守工作，第二批同步实施</t>
  </si>
  <si>
    <t>跟进项目进度</t>
  </si>
  <si>
    <t>正进行收费土建，重新做顶棚</t>
  </si>
  <si>
    <t>1月底前：
    （1）完成耒宜4个数智云收费站的建设。</t>
  </si>
  <si>
    <t>正在进行值守工作</t>
  </si>
  <si>
    <t>机电部回款97%</t>
  </si>
  <si>
    <t>12月底前：
    （1）完成耒宜3个数智云收费站的建设。（不确定开通时间）</t>
  </si>
  <si>
    <t>11月底前：
    （1）完成设备到位。
12月底前：
    （2）完成收费站建设。</t>
  </si>
  <si>
    <t>目前还未确定机房设备等到货时间及相关进场时间</t>
  </si>
  <si>
    <t>暂无进度，仍未开工</t>
  </si>
  <si>
    <t>业主尚未明确开通时间及相应施工计划</t>
  </si>
  <si>
    <t>12月底前：
    （1）完成零道5个数智云收费站的建设。</t>
  </si>
  <si>
    <t>已完成设计对接</t>
  </si>
  <si>
    <t>已将价格建议反馈给总包和设计，等在批复价</t>
  </si>
  <si>
    <t>等待批复价</t>
  </si>
  <si>
    <t>12月底前：
    （1）完成桂新3个数智云收费站的建设。</t>
  </si>
  <si>
    <t>云站、轻量化云站关键指标监测</t>
  </si>
  <si>
    <t>完善监测大屏数据、指标及告警（根据告警级别进行电话及短信，并在任务中心产生待办任务）。告警范围涵盖业务指标、机电设备、运行环境</t>
  </si>
  <si>
    <t>5月底：完成开发、上线</t>
  </si>
  <si>
    <t>云站：根据上次反馈的问题已进行分析，转化为需求。</t>
  </si>
  <si>
    <t>跟进整改进度</t>
  </si>
  <si>
    <t>历史数智云项目</t>
  </si>
  <si>
    <t>12月底前完成交工检测</t>
  </si>
  <si>
    <t>4月底：完成云资源采购（已完成）
4月中旬：完成云站设备检测（已完成）
4月底：完成茶常回款</t>
  </si>
  <si>
    <t>跟进相关时间进度</t>
  </si>
  <si>
    <t>1、已写完合同模板需求文件等，正在修改上会材料；
2、当前付款材料已提交给财务。厂商还未提供相关资料；
3、茶常仍未回款</t>
  </si>
  <si>
    <t>1、云资源采购上会材料已准备完毕等待上回后进行下一步，相关需求文件及合同模板已做好
2、设备检测已完成，但由于设备支付材料存在问题正在加急整改
3、正在与投发部沟通，采用抵扣的方式，资料已收集完</t>
  </si>
  <si>
    <t>1、预计4月份签合同，所有材料已准备完毕等待节后招标挂网。
2、设备第一笔30%款项已付，等待对方开具70%票后进行第二笔付款，检测报告不带盖章版已经拿到。
3、已于投发部沟通并未有太好的结果，投发部回去准备材料了。</t>
  </si>
  <si>
    <t>根据广东省设计要求完成数智云软件改造（暂停推进）</t>
  </si>
  <si>
    <t>1月底：方案讨论
2月15日前：
      1、完成需求调研；
      2、团队建设计划；
      3、确定建设方案；
      4、完成实施计划表；
      5、合作单位选择
完成系统开发、测试
6月底：完成系统部署上线</t>
  </si>
  <si>
    <t>跟进实际情况</t>
  </si>
  <si>
    <t>1、我们根据实际情况评估，因为相关差异较大且预算不充足。
2、厂商正在评估，2月6日询问进度仍未回复具体情况</t>
  </si>
  <si>
    <t>存量收费站数智云改造</t>
  </si>
  <si>
    <t>16个</t>
  </si>
  <si>
    <t>正在与机电部确认相关站改造类型属于哪种，明确相关机电总包，同步询问设计设计事宜</t>
  </si>
  <si>
    <t>与机电部沟通相关改造类型，同步联系机电总包，跟进项目实际情况</t>
  </si>
  <si>
    <t>站点数量改为19个，已完成17个勘探，已初具初步勘探报告，已与设计对接，设计正在出图</t>
  </si>
  <si>
    <t>收费管理平台</t>
  </si>
  <si>
    <t xml:space="preserve">建设目标：
建设集团级收费运营治理中台，实现收费业务“全链路可视、全过程可控、全方位可考”，提升集团对收费运营的统一监管与考核能力，支撑集团数字化转型战略落地。
总体定位：
构建以数据驱动、流程闭环、绩效导向为核心的收费运营管理平台，形成技术、数据、业务、考核“四位一体”综合治理体系。
</t>
  </si>
  <si>
    <t>罗祺祺</t>
  </si>
  <si>
    <t>1、分收费站、分公司视角分别输出V1.0版收费站一体化大屏原型</t>
  </si>
  <si>
    <t>已完成（分收费站、分公司视角分别输出V1.0版收费站一体化大屏原型）</t>
  </si>
  <si>
    <t>对方案进行进一步优化。（完成业务视角看板的整理，包含稽核、收费视频平台、十项考核指标、绿通、收费站设备监测等收费核心系统的业务数据及系统入口整合）；</t>
  </si>
  <si>
    <t>已完成业务视角看板的原型绘制，分别整合稽核、绿通、优免车、十项考核指标、收费集中监控、路网运行监测、流水传输监测、清分拆分、客服、退费等核心业务系统；</t>
  </si>
  <si>
    <t>完成资产看板及组织考核看板的原型设计，并输出完整需求方案；</t>
  </si>
  <si>
    <t>已完成三大数据看板及相关二级页面的原型设计；
待组织需求评审；</t>
  </si>
  <si>
    <t>1、完成需求方案评审
2、完成页面UI设计；
3、启动研发</t>
  </si>
  <si>
    <t>机场高速收费系统</t>
  </si>
  <si>
    <t>倪楷烨</t>
  </si>
  <si>
    <t>1、完成前期方案和预算沟通</t>
  </si>
  <si>
    <t>已完成，且已发给机场高速方。</t>
  </si>
  <si>
    <t>1、根据技术方案完成完成现场调研和需求调研</t>
  </si>
  <si>
    <t>1、完成造价文件的编制，积极配合机场高速的内部造价及招投标；
2、完成部分需求文档的编制工作；</t>
  </si>
  <si>
    <t>1、已完成造价文件的编制，积极配合机场高速的内部造价及招标文件编写；
2、已完成部分需求文档的编制工作；
3、该项目已暂停。</t>
  </si>
  <si>
    <t>1、目前项目处于暂停状态。按照最新指示，尽快完成需求文档的编写和内部评审工作。预计下周一4月13号完成需求和原型的评审。
2、完成项目管理工作计划表</t>
  </si>
  <si>
    <t>截止到4月22号，进度如下：
1、本周完成和机场高速的合同谈判，在合同最终定稿中；
2、需求已完成内部评审和4次需求澄清工作；
3、目前项目开发整体进度35%。</t>
  </si>
  <si>
    <t>联网新增功能开发1（项目暂停）</t>
  </si>
  <si>
    <t>系统外纸改电优化升级</t>
  </si>
  <si>
    <t>完成需求调研和确认</t>
  </si>
  <si>
    <t>已完成第一次需求调研和确认</t>
  </si>
  <si>
    <t>-8 
任务延时</t>
  </si>
  <si>
    <t>1、完成需求确认，需求文档编制完成</t>
  </si>
  <si>
    <t>1、进入开发阶段</t>
  </si>
  <si>
    <t>1、风险点：因涉及到非通行费开票问题，行云还在和联网公司谈接口价格，或者行云直接提供网址给我们填。
2、基于第一点，经和联网公司沟通，目前开发工作暂停，等联网公司进一步消息。</t>
  </si>
  <si>
    <t>1、跟进联网公司和行云的商务谈判消息</t>
  </si>
  <si>
    <t>1、联网公司已确认使用行云提供的免费网页，本项目终止。数据处理相关的风险也已告知联网公司。</t>
  </si>
  <si>
    <t>联网新增功能开发2（已完成）</t>
  </si>
  <si>
    <t>十项关键指标</t>
  </si>
  <si>
    <t>1、春节前完成联网公司最新提的一次性通过率的明细数据展示的开发和上线</t>
  </si>
  <si>
    <t>1、已完成一次性通过率的明细数据功能的开发</t>
  </si>
  <si>
    <t>1、联网公司新增需求，需展示物理失败的明细数据。3月6号完成开发上线。</t>
  </si>
  <si>
    <t>2026年联网公司新增项目</t>
  </si>
  <si>
    <t>跟进2026年联网公司新增项目立项进度</t>
  </si>
  <si>
    <t>智能绿通查验系统</t>
  </si>
  <si>
    <t>彭天泽</t>
  </si>
  <si>
    <t>完成第一批设备上线</t>
  </si>
  <si>
    <t>完成全部智能查验终端上线</t>
  </si>
  <si>
    <t>完成服务区绿通前置查验系统软件省中心开发联调</t>
  </si>
  <si>
    <t>1、完成服务区绿通前置查验系统软件省中心开发联调
 2、完成绿通信用查验管理办法编制</t>
  </si>
  <si>
    <t>完成服务区绿通前置查验系统上线，并试运行；</t>
  </si>
  <si>
    <t>1、目前正与广东方面就《供港澳鲜活农产品运输“绿色通道”车辆实施免开箱查验、免费通行的操作细则（试行）》进行磋商。双方已就主体框架达成初步共识，细则文本已基本成型，待最终确认后即可转入技术方案对接阶段。
联网中心已向广东联合电服书面正式发函征求意见，待回复后湖南省厅再向广东省厅书面征求意见。
2、开发已完成，待土建、机电完成可上线试运行</t>
  </si>
  <si>
    <t>轻量化云站项目：
1、3月份9个站点升级改造；
2、5月份31个站点升级改造</t>
  </si>
  <si>
    <t>6月底：完成长沙分公司5个站点升级改造</t>
  </si>
  <si>
    <t>5月：完成设备安装调试
6月：完成5个站点上线</t>
  </si>
  <si>
    <t>胡彬</t>
  </si>
  <si>
    <t>1、现场勘查及施工设计图纸编制；
2、人员车辆实施计划编制</t>
  </si>
  <si>
    <t>1、完成现场勘查及施工设计图纸编制；
2、完成人员车辆实施计划编制</t>
  </si>
  <si>
    <t>2026年轻量化实施站点列表跟踪</t>
  </si>
  <si>
    <t>6月底：完成湘潭分公司2个站点升级改造</t>
  </si>
  <si>
    <t>6月底：完成怀化分公司1个站点升级改造</t>
  </si>
  <si>
    <t>6月底：完成湘西分公司1个站点升级改造（0408新增）</t>
  </si>
  <si>
    <t>6月底：完成永州分公司1个站点升级改造</t>
  </si>
  <si>
    <t>7月底：完成株洲分公司1个站点升级改造（0408新增）</t>
  </si>
  <si>
    <t>6月：完成设备安装调试
7月：完成5个站点上线</t>
  </si>
  <si>
    <t>7月底：完成郴州分公司1个站点升级改造（0408新增）</t>
  </si>
  <si>
    <t>杨嘉桥轻量化云站改造</t>
  </si>
  <si>
    <t>完成杨嘉桥轻量化云站系统改造</t>
  </si>
  <si>
    <t>已完成上线，进入试运行</t>
  </si>
  <si>
    <t>1、杨嘉桥轻量化云站试运行问题跟踪及优化；
2、3月份9个轻量化云站改造施工人员、车辆计划</t>
  </si>
  <si>
    <t>1、完成杨嘉桥轻量化云站试运行问题跟踪及优化；
2、完成3月份9个轻量化云站改造施工人员、车辆计划</t>
  </si>
  <si>
    <t>1、杨嘉桥收费站轻量化云站问题跟踪及版本计划。</t>
  </si>
  <si>
    <t>完成杨嘉桥收费站轻量化云站问题跟踪及版本计划。</t>
  </si>
  <si>
    <t>融合车道重点问题整改</t>
  </si>
  <si>
    <t>1、牌识抓取率提升</t>
  </si>
  <si>
    <t>4月17日：怀化、永州分公司站处理（已完成）
4月底：配合机电完成设备优化</t>
  </si>
  <si>
    <t>收费站牌识率指标优化提升</t>
  </si>
  <si>
    <t>轻量化云重点需求开发（已完成）</t>
  </si>
  <si>
    <t>需求1、目前是只能单天线交易，支持双天线补充交易。
需求2、自助模式下天线是触发式的，如果2秒（配置项）未扫到天线会转到CPC交易流程，转到CPC流程后如需ETC交易，需要云坐席触发重新处理。</t>
  </si>
  <si>
    <t>龙炽</t>
  </si>
  <si>
    <t>1、双天线开发</t>
  </si>
  <si>
    <t>1、双天线研发进度50%</t>
  </si>
  <si>
    <t>1、完成双天线开发</t>
  </si>
  <si>
    <t>1、已完成双天线开发</t>
  </si>
  <si>
    <t>完成系统实施部署测试验证</t>
  </si>
  <si>
    <t>1、双天线现场验证中。
2、交易流水优化正在内部测试。</t>
  </si>
  <si>
    <t>完成试点上线</t>
  </si>
  <si>
    <t>完成对接系统梳理</t>
  </si>
  <si>
    <t>系统梳理：（数智云收费站、轻量云、收费站一体化平台、统一APP、云门户、稽核系统、收费集中监控）</t>
  </si>
  <si>
    <t>完成对接（云站）</t>
  </si>
  <si>
    <t>1、云站已完成
2、收费站一体化正在对接</t>
  </si>
  <si>
    <t>完成轻量云、统一APP、云门户、稽核系统、收费集中监控对接</t>
  </si>
  <si>
    <t>系统梳理：（数智云收费站、轻量云、收费站一体化平台、统一APP、稽核系统、收费集中监控）</t>
  </si>
  <si>
    <t>完成轻量云、收费站一体化、收费集中监控对接</t>
  </si>
  <si>
    <t>系统梳理：（稽核系统）</t>
  </si>
  <si>
    <t>1、已完成系统梳理</t>
  </si>
  <si>
    <t>启动对接工作</t>
  </si>
  <si>
    <t>手持机替换</t>
  </si>
  <si>
    <t>用我方手持机替换华软机器人的手持机包含软件替换（云站+轻量云）
传统站机器人改造（待补充里程碑计划）</t>
  </si>
  <si>
    <t>已与华软完成初步对接，功能清单还在整理中</t>
  </si>
  <si>
    <t>1、云坐席对接的接口文档已发给华软，目前华软仍未提供相关功能以及报价。</t>
  </si>
  <si>
    <t>1、完成方案设计</t>
  </si>
  <si>
    <t>已完成方案初步设计，根据今年数转要求，大部分分站点仅采购1-2台机器人，所以统一技术方案，小E机器人也采用卡机模式，由融合车道与特情平台进行对接。</t>
  </si>
  <si>
    <t>1、完成方案
2、启动招采</t>
  </si>
  <si>
    <t>完成云站旗舰版定版</t>
  </si>
  <si>
    <t>目前已梳理需要定版的需求</t>
  </si>
  <si>
    <t>1、需求已完成评审，研发正在进行中</t>
  </si>
  <si>
    <t>持续推进研发工作，迭代需求</t>
  </si>
  <si>
    <t>云站容灾部署</t>
  </si>
  <si>
    <t>刘敏</t>
  </si>
  <si>
    <t>目前石鼓站部署1条车道、韶山部署2条车道</t>
  </si>
  <si>
    <t>石鼓站增加一条出口部署</t>
  </si>
  <si>
    <t>1、石鼓站增加一条出口部署未完成，延期到3月一起部署。目前正在测试5.23.2版本
2、所有云站出具容灾演练报告，客观条件不具备的站点给运营单位发告知函（机电的发工作联系单）已完成</t>
  </si>
  <si>
    <t>1、石鼓站增加两条车道降级部署，完成试点工作
2、数转项目10个云站勘察任务对接</t>
  </si>
  <si>
    <t>1、石鼓站出口用新方案部署一条车道未完成，车道节点、收费地址段和容灾地址段无法打通，继续讨论方案。
2、完成27个数转项目云站勘察任务
3、对接完成数转项目19个站设计清单</t>
  </si>
  <si>
    <t>1、继续在石鼓站用优化后的网络方案部署车道级云收费系统。
2、星沙站部署机房动环监测系统。
3、跟进临岳高速4个云站机电对接
4、跟进数转19个站机电进场计划。</t>
  </si>
  <si>
    <t>完成云站设备定版招采</t>
  </si>
  <si>
    <t>刘菊华</t>
  </si>
  <si>
    <t>完成设备清单及参数整理；</t>
  </si>
  <si>
    <t>已完成设备清单及参数的整理</t>
  </si>
  <si>
    <t>完成上会资料整理，发起招采流程</t>
  </si>
  <si>
    <t>已经完成招采开标，目前公示中</t>
  </si>
  <si>
    <t>签订合同</t>
  </si>
  <si>
    <t>整理招聘需求，并进行挂网招聘</t>
  </si>
  <si>
    <t>已完成招聘需求整理，并已挂网</t>
  </si>
  <si>
    <t>完成人员招聘</t>
  </si>
  <si>
    <t>已完成第一批人员招聘</t>
  </si>
  <si>
    <t>人员到位</t>
  </si>
  <si>
    <t>一路多方系统开发</t>
  </si>
  <si>
    <t>待尹磊确认完成需求设计</t>
  </si>
  <si>
    <t>未有实际进度</t>
  </si>
  <si>
    <t>组织特微提交云站设备维修手册</t>
  </si>
  <si>
    <t>1、为解决设备故障自维问题，设备招采合同内容增加条款:要求特微提供设备维修手册（已提供）及配套工具、及对机电部人员的培训
2、原有已实施设备，要求特微提供设备维修手册、工具，及对机电部的培训</t>
  </si>
  <si>
    <t>4月17日：进行谈判
4月底：完成对机电培训</t>
  </si>
  <si>
    <t>耒宜智慧保通项目</t>
  </si>
  <si>
    <t>易帆</t>
  </si>
  <si>
    <t>预计6月开始，暂无进度</t>
  </si>
  <si>
    <t>准备系统立项，并协调耒宜项目部进行系统部署工作</t>
  </si>
  <si>
    <t>株耒改扩建</t>
  </si>
  <si>
    <t>系统已部署，正在进行设计评审</t>
  </si>
  <si>
    <t>系统已部署，正在进行设计厅审</t>
  </si>
  <si>
    <t>系统已部署，跟踪厅审进度</t>
  </si>
  <si>
    <t>已批复，正在进行设备采购招标工作</t>
  </si>
  <si>
    <t>完成系统部署</t>
  </si>
  <si>
    <t>岳临高速改扩建</t>
  </si>
  <si>
    <t>系统已部署，正在设计评审</t>
  </si>
  <si>
    <t>集团已批复，正在进行设备采购招标，3月31号已召开系统启动会，预计4月进行系统部署。</t>
  </si>
  <si>
    <t>省中心视频优化提升</t>
  </si>
  <si>
    <t>定制软件部分
（云联网平台、云联网测试平台、视频平台基础功能、视频平台应用功能）
高可用灾备软件
视频上云网关升级
微博接口
视频接入实施</t>
  </si>
  <si>
    <t>系统已上线，已完成需求设计文档编制，准备进行评审</t>
  </si>
  <si>
    <t>已完成上线工作</t>
  </si>
  <si>
    <t>已完成上线工作，3月份完成评审，计量</t>
  </si>
  <si>
    <t>完成评审、计量</t>
  </si>
  <si>
    <t>定制软件部分已完成需求评审，4月完成设计评审工作。其余部署已完成计量。</t>
  </si>
  <si>
    <t>完成定制</t>
  </si>
  <si>
    <t>成品软件：
云资源
云资源-测试平台
数据库授权
服务器虚拟化授权</t>
  </si>
  <si>
    <t>已计量90%</t>
  </si>
  <si>
    <t>已完成。</t>
  </si>
  <si>
    <t>汇聚层改造部分</t>
  </si>
  <si>
    <t>已完成湘潭汇聚层改造</t>
  </si>
  <si>
    <t>已完成汇聚层改造</t>
  </si>
  <si>
    <t>机房设备</t>
  </si>
  <si>
    <t>刘涌</t>
  </si>
  <si>
    <t>签订采购合同</t>
  </si>
  <si>
    <t>完成合同细节敲定</t>
  </si>
  <si>
    <t>已完成合同签订
（因供应商反馈服务器涨价会亏本，已解除合同，需重新招标）</t>
  </si>
  <si>
    <t>跟进商务采购进度</t>
  </si>
  <si>
    <t>完成招采</t>
  </si>
  <si>
    <t>大厅设备</t>
  </si>
  <si>
    <t>完成供应商设备到货</t>
  </si>
  <si>
    <t>已完成设备到货、报验</t>
  </si>
  <si>
    <t>根据四楼大厅装修进度进行进场</t>
  </si>
  <si>
    <t>路网应急</t>
  </si>
  <si>
    <t>1、完成应急指挥智能调度终端设备建设；
2、完成高速公路传输网改造</t>
  </si>
  <si>
    <t>8月底：完成项目变更
9月底：完成应急指挥智能调度终端设备建设
12月底：完成高速公路传输网改造
（再次确认是否需要调整）</t>
  </si>
  <si>
    <t>完成湘潭分公司实施</t>
  </si>
  <si>
    <t>完成娄底分公司实施</t>
  </si>
  <si>
    <t>已完成娄底分公司实施</t>
  </si>
  <si>
    <t>开展长沙、株洲、益阳、常德、衡阳分公司IP改造情况摸底</t>
  </si>
  <si>
    <t>益阳完成15/29；常德完成18/19；长沙完成3/34；株洲完成1/42；衡阳完成1/43；永州启动摸底；</t>
  </si>
  <si>
    <t>IP网改造：常德完工；怀化启动</t>
  </si>
  <si>
    <t>4楼监控大厅装修改造</t>
  </si>
  <si>
    <t>机电主导</t>
  </si>
  <si>
    <t>改造方案（设计方案时间暂定，装修设计（集团数转项目部）+机电设计）
设备采购
进场施工
27年：完成验收</t>
  </si>
  <si>
    <t>待装修方案确定后，才进行机电改造方案设计</t>
  </si>
  <si>
    <t>跟进装修方案进度</t>
  </si>
  <si>
    <t>机电设计方案于与装修设计方案同步进行，跟进机电设计方案</t>
  </si>
  <si>
    <t>完成集团级无人机管控平台</t>
  </si>
  <si>
    <t>以雨花支队作为试点</t>
  </si>
  <si>
    <t>完成功能清单编制和配合招采工作。</t>
  </si>
  <si>
    <t>已配合完成采购流程。</t>
  </si>
  <si>
    <t>完成硬件部署联调，平台初步上线。</t>
  </si>
  <si>
    <t>1、当前已完成G4京港澳高速9台设备勘点，联调，部署，完成试飞。
      2、平台已经完成初步上线，和路网应急初步对接。</t>
  </si>
  <si>
    <t>完善后续功能模块开发工作，推动设计文件完善。</t>
  </si>
  <si>
    <t>完成与各业务系统对接方案编制</t>
  </si>
  <si>
    <t>IP网改造</t>
  </si>
  <si>
    <t>1、完成18个单元实施并进入运行
2、形成监控IP承载网标准与规范</t>
  </si>
  <si>
    <t>张广</t>
  </si>
  <si>
    <t>完成湘潭实施</t>
  </si>
  <si>
    <t>1.15完成湘潭实施，1.23组织预验收进入试运行</t>
  </si>
  <si>
    <t>1、娄底：1.15开始娄底实施，年度计划完成2月底实施，申请延迟到3月中旬
2、益阳摸底：</t>
  </si>
  <si>
    <t>1、娄底完成28/29,扫尾工作3.10完成
2、益阳2.10益阳启动会召开</t>
  </si>
  <si>
    <t>1、3.10完成娄底扫尾工作
2、3月启动4-6个地市的实施工作
3、跟进数转项目变更对IP网改造的影响</t>
  </si>
  <si>
    <t>1、娄底3.10完工，3.26完成初步验收
2、启动了株洲、长沙、常德、衡阳、永州
3、变更跟进中，提交了新的exc材料</t>
  </si>
  <si>
    <t>1、常德完工，确定初步验收时间；
2、怀化启动
3、湘潭试运行结束，确定验收时间</t>
  </si>
  <si>
    <t>收费集中监控</t>
  </si>
  <si>
    <t>1、完成驾驶舱建设
2、完成容器化部署改造
3、完成剩余8个收费视频平台建设（株洲、岳阳、张家界、常德、益阳、娄底、怀化、衡阳）
4、完成14个地市收费集中监控的视频模块替换与视频、对讲的割接</t>
  </si>
  <si>
    <t>1、长沙上线驾驶舱基础版
2、娄底收费视频平台部署</t>
  </si>
  <si>
    <t xml:space="preserve">1、V3.0.0（含驾驶舱）长沙、娄底、怀化已上线
2、娄底收费视频平台已部署并使用
</t>
  </si>
  <si>
    <t>1、V3.0.0（含驾驶舱）全省上线
2、益阳收费视频平台部署</t>
  </si>
  <si>
    <t>1、V3.0.0（含驾驶舱）全省上线
2、益阳收费视频平台部署完成</t>
  </si>
  <si>
    <t>1、V3.1.0（驾驶舱二级页面）开发完成
2、完成株洲收费视频平台部署</t>
  </si>
  <si>
    <t xml:space="preserve">1、V3.1.0（驾驶舱二级页面）延期至4.17；原因：需求人员资源紧张，延期至3.17完成需求评审；
2、完成株洲收费视频平台部署
3、完成安运部临时工作安排：车辆信息特情自动确认关闭
</t>
  </si>
  <si>
    <t>1、完成驾驶舱建设
2、配合IP网改造完成收费视频/对讲割接
3、tco+数据库改造方案调研
4、云站特情对接工作</t>
  </si>
  <si>
    <t>沪昆路段数字高速路段改造方案对接</t>
  </si>
  <si>
    <t>确定G60改造方案</t>
  </si>
  <si>
    <t>12月底：完成方案对接、编制（胡建阳）</t>
  </si>
  <si>
    <t>胡建阳</t>
  </si>
  <si>
    <t>准备进行方案对接</t>
  </si>
  <si>
    <t>实施暂无进度</t>
  </si>
  <si>
    <t>车型库本地部署</t>
  </si>
  <si>
    <t>全省融合车道完成车型库本地化改造（云站+轻量化云）</t>
  </si>
  <si>
    <t>1.进行车型库本地部署方案对接
2.选择部分站点部署本地车型库试点（云站-宁远南，轻量化云站-广福）</t>
  </si>
  <si>
    <t>支付平台（计划交接给智慧出行事业部）</t>
  </si>
  <si>
    <t>支付平台自研自维工作
（支付平台是否需要统一：车道：特微；服务区，小程序，发行事业部：星富通）</t>
  </si>
  <si>
    <t>杨毅</t>
  </si>
  <si>
    <t>1、代码熟悉
2、部署方案编写</t>
  </si>
  <si>
    <t>1、完成代码模块熟悉工作
2、完成部署资源梳理，已发起资源申请流程，待审批通过
3、完成部分部署方案编写</t>
  </si>
  <si>
    <t xml:space="preserve">
     1、完成测试环境验证
     2、确定推广方案</t>
  </si>
  <si>
    <t>1、完成资源申请</t>
  </si>
  <si>
    <t>1、完成部署
2、完成测试环境验证</t>
  </si>
  <si>
    <t>干线通道主动管控</t>
  </si>
  <si>
    <t>完成G4、G60、G0401三条路段外场设备上架调试，并对接平台实现策略发布和管控。</t>
  </si>
  <si>
    <t>彭勃</t>
  </si>
  <si>
    <t>1、基于机电部外场实施进度，配合其进行点位确认，协调厂家进行联调
2、推动车路云协同应用完成正式版本软件部署和外场发布设备安装调试</t>
  </si>
  <si>
    <t>1、配合机电部进行路段点位确认，已协调人员进行实地调研联调
2、完成车路云协同应用完成正式版本软件部署和外场发布设备安装调试</t>
  </si>
  <si>
    <t>1、完成邵阳分公司外场设备的对接调试
2、完成与一张网融媒体服务的对接</t>
  </si>
  <si>
    <t>1、已完成邵阳分公司外场雷达摄像头等设备的对接调试
2、完成与一张网融媒体服务的对接</t>
  </si>
  <si>
    <t>1、基于外场实施进度持续配合完成外场设备的接入调试
2、底座私有云平台替换部署中，待私有云平台替换完成，推动干线系统进行迁移。
3、持续优化迭代软件功能</t>
  </si>
  <si>
    <t>1、持续与各分公司机电人员进行沟通，跟进实施进度，外场进度过慢，暂时无其他地市分公司完成通电通网；
2、私有云平台已完成替换，PAAS层资源未部署完成，整体网络未打通，目前在联网云部署了部分系统。
3、持续优化迭代软件功能，目前完成75%左右进度。</t>
  </si>
  <si>
    <t>1、完成干线系统在私有云的部署
2、基于外场进度优先完成娄底、株洲、湘潭、长沙分公司的外场设备接入，支持五一期间干线通行效率提升</t>
  </si>
  <si>
    <t>手机+收费系统
（暂停推进）</t>
  </si>
  <si>
    <t>系统开发完成
完成试点</t>
  </si>
  <si>
    <t>曲文凤</t>
  </si>
  <si>
    <t>完成需求设计</t>
  </si>
  <si>
    <t>部里有最新方案，暂停试点</t>
  </si>
  <si>
    <t>跟进具体情况</t>
  </si>
  <si>
    <t>参与部技术方案讨论</t>
  </si>
  <si>
    <t>跟进部方案进度，明确正式方案</t>
  </si>
  <si>
    <t>一张网出行服务</t>
  </si>
  <si>
    <t>1.完成三湘畅行增值服务场景开发；
2.完成客户中心系统建设（感动负责）；</t>
  </si>
  <si>
    <t>完成服务区基础数据接入；</t>
  </si>
  <si>
    <t>完成服务区功能上线</t>
  </si>
  <si>
    <t>完成服务区在线点餐功能开发</t>
  </si>
  <si>
    <t>1、已对接服务区收银系统、集团支付平台，完成服务区点餐功能开发并上线</t>
  </si>
  <si>
    <t>1、接入集团统一认证的C端用户认证；
2、三湘畅行APP完成应用商店发版</t>
  </si>
  <si>
    <t>1、完成集团C端统一认证的开发与测试；
2、APP在苹果、华为应用商店发版上线。</t>
  </si>
  <si>
    <t>1.制定增值服务场景运营方案；
2.完成非外部依赖部分的25年任务造价功能点补齐。</t>
  </si>
  <si>
    <t>构建“收费业务产品化+少人化运营支撑能力”，完成核心收费系统从项目型向产品型转变。</t>
  </si>
  <si>
    <t>安全运维业务中心</t>
  </si>
  <si>
    <t>联网收费技术服务运维项目</t>
  </si>
  <si>
    <t>1、完成收入合同签订
2、完成劳务采购
3、完成日常业务全部自维</t>
  </si>
  <si>
    <t>彭文峰</t>
  </si>
  <si>
    <t>1、完成劳务采购上会材料编制
2、联网公司已完成预算申报</t>
  </si>
  <si>
    <t>1、联网公司已发起合同审批流程
2、完成劳务采购上会材料编制。
3、已介入省中心系统运维</t>
  </si>
  <si>
    <t>1、完成联网公司合同签订
2、完成劳务采购挂网</t>
  </si>
  <si>
    <t>1、完成联网公司合同签订
2、已完成劳务采购立项。
3、已发起劳务采购造价审批流程。</t>
  </si>
  <si>
    <t>1、完成机电分、信科公司合同签订
2、完成劳务采购挂网</t>
  </si>
  <si>
    <t>优化提升运维工作效率</t>
  </si>
  <si>
    <t>日常运维工作全部脚本化，系统状态监测全部可视化</t>
  </si>
  <si>
    <t>/</t>
  </si>
  <si>
    <t>需求：历史通行记录查询页面需求（历史通行记录保存在不同的4个数据库，查询不方便。）</t>
  </si>
  <si>
    <t>已发历史通行记录查询页面工单</t>
  </si>
  <si>
    <t>新增其他优化需求</t>
  </si>
  <si>
    <t>1、新增了拆分数据统计需求</t>
  </si>
  <si>
    <t>信息中心核心业务系统实现IAAS自维</t>
  </si>
  <si>
    <t>刘健</t>
  </si>
  <si>
    <t>1、完成数字底座与集团机房并网对接</t>
  </si>
  <si>
    <t>完成私有云与集团机房并网对接</t>
  </si>
  <si>
    <t>因更换私有云，原有平台停用,暂停并网接入</t>
  </si>
  <si>
    <t>完成新上私有云与集团机房并网对接</t>
  </si>
  <si>
    <t>1、完成华为私有云与集团机房并网接入；
2、完成私有云虚拟机版本监控插件安装。</t>
  </si>
  <si>
    <t>1、完成私有云新建虚拟机的监控；
2、完成数字底座新上设备运维资料收集。</t>
  </si>
  <si>
    <t>实现DEVOPS平台的在集团系统的全部生产环境接入使用</t>
  </si>
  <si>
    <t>李云志</t>
  </si>
  <si>
    <t>完成测试。</t>
  </si>
  <si>
    <t>计划有变，京东私有云项目暂缓，暂定测试。</t>
  </si>
  <si>
    <t>完成系统测试</t>
  </si>
  <si>
    <t>计划有变，私有云已更换,延缓测试。</t>
  </si>
  <si>
    <t>没有部署</t>
  </si>
  <si>
    <t>完成部署，博云devops平台</t>
  </si>
  <si>
    <t>实现DEVOPS平台的在联网系统的全部生产环境接入使用</t>
  </si>
  <si>
    <t>待确认是否采购,或者是否能协商京东部署一套,或者使用开源方案</t>
  </si>
  <si>
    <t>计划有变，私有云已更换。</t>
  </si>
  <si>
    <t>是否采购博云devios平台，待确认</t>
  </si>
  <si>
    <t>完成运维管理平台在集团的全部接入使用基础性能监控,监控到业务链路，日志监控</t>
  </si>
  <si>
    <t>王明亮</t>
  </si>
  <si>
    <t>1、与信息中心进行沟通，接入系统要求</t>
  </si>
  <si>
    <t>完成沟通：
1、生产纳入，测试系统不纳入。
2、与联网、路网相关的，即使部署在集团也不纳入集团的考核范畴，流程不加入集团。信科自行决策。
3、公有云不纳入。私有云后续纳入。</t>
  </si>
  <si>
    <t>1、盘点集团的系统</t>
  </si>
  <si>
    <t>1、已经初步完成集团现有业务的梳理，待收集数转后的输入。</t>
  </si>
  <si>
    <t>1、整理成系统清单。</t>
  </si>
  <si>
    <t>开始盘点接入情况。需要李云志协助。</t>
  </si>
  <si>
    <t>安全运维项目</t>
  </si>
  <si>
    <t>接管省中心安全运维工作
接收分中心安全运维工作
接收集团安全运维工作</t>
  </si>
  <si>
    <t>1、熟悉省中心环境。
2、接管省中心的商务问题</t>
  </si>
  <si>
    <t>1、已经组织人员进行省中心安全风险的分析。但受限于商务原因，目前不能获取纸质文档。
2、已和联网公司沟通，联网公司拟不在招采，与信科签订合同。但需要等待联网公司进度以及龚主任批复。</t>
  </si>
  <si>
    <t>进行监控网的风险评估</t>
  </si>
  <si>
    <t>1、初步完成监控网的风险盘点，待整理成汇报文档，进行汇报。
2、跟进省中心的流程</t>
  </si>
  <si>
    <t xml:space="preserve">1、跟进省中心安全运维的流程。
2、完成省中心人员的入场
</t>
  </si>
  <si>
    <t>1、已经完成与信息中心，省中心的沟通，合同正在进行。
2、已经进入6个人员。目前监测等都已经在进行了。</t>
  </si>
  <si>
    <t>完成入场准备工作材料。</t>
  </si>
  <si>
    <t>季度至少完成一次应急演练并更新应急预案</t>
  </si>
  <si>
    <t>万里</t>
  </si>
  <si>
    <t>应急宣贯</t>
  </si>
  <si>
    <t>更新新上线的系统的应急</t>
  </si>
  <si>
    <t>已完成文档的更新</t>
  </si>
  <si>
    <t>完成一次应急演练</t>
  </si>
  <si>
    <t>省中心的应急宣贯</t>
  </si>
  <si>
    <t>支撑“运维监测平台落地运行”，实现从人工运维向智能运维过渡（使用）</t>
  </si>
  <si>
    <t>产品研发与效能中心</t>
  </si>
  <si>
    <t>统一技术底座建设</t>
  </si>
  <si>
    <t>实现统一技术架构与基础能力底座，支撑产品化与组件复用（核心系统接入率 ≥80%，产品化率基础支撑）</t>
  </si>
  <si>
    <t>AI研发体系建设</t>
  </si>
  <si>
    <t>实现AI研发应用初步覆盖研发全流程（AI覆盖率 ≥30%）</t>
  </si>
  <si>
    <t>运营监测平台建设（统一监测中枢）</t>
  </si>
  <si>
    <t>研发流程与研发治理体系建设</t>
  </si>
  <si>
    <t>明确需求评审、开发、测试、发布全流程及Git规范、Code Review等质量要求，所有项目已接入统一代码仓库并按新流程执行</t>
  </si>
  <si>
    <t>项目与质量管控中心</t>
  </si>
  <si>
    <t>研发与生产一体化质量保障体系建设</t>
  </si>
  <si>
    <t>系统稳定性与运行保障能力建设</t>
  </si>
  <si>
    <t>项目：质量治理平台与可视化体系建设</t>
  </si>
  <si>
    <t>项目全过程管理体系建设</t>
  </si>
  <si>
    <t>实现项目从立项到交付全过程可控（进度偏差 ≤10%）</t>
  </si>
  <si>
    <t>行业解决方案与业务拓展中心</t>
  </si>
  <si>
    <t>需求治理与解决方案产品化体系建设</t>
  </si>
  <si>
    <t>市场支撑与产品化输出能力建设</t>
  </si>
  <si>
    <t>商务中心</t>
  </si>
  <si>
    <t>商务流程与体系建设</t>
  </si>
  <si>
    <t>市场拓展能力建设</t>
  </si>
  <si>
    <t>信科公司2026年集团管控数字化任务书填写地址</t>
  </si>
  <si>
    <t>2026年创新目标（预研性，暂无项目业务）</t>
  </si>
  <si>
    <t>负责人</t>
  </si>
  <si>
    <t>备注</t>
  </si>
  <si>
    <t>月初计划完成</t>
  </si>
  <si>
    <t>实际完成</t>
  </si>
  <si>
    <t>当月得分</t>
  </si>
  <si>
    <t>得分备注</t>
  </si>
  <si>
    <t>项目负责人得分</t>
  </si>
  <si>
    <t>考核专员得分</t>
  </si>
  <si>
    <t>一、集团信息化组</t>
  </si>
  <si>
    <t>二、工程建管组</t>
  </si>
  <si>
    <t>高斯溅射模型研究（终止）</t>
  </si>
  <si>
    <t>组织完成高斯溅射模型引入、试点</t>
  </si>
  <si>
    <t>6月底：完成试点</t>
  </si>
  <si>
    <t>尹磊、曾家铭</t>
  </si>
  <si>
    <t>1.对高斯溅射技术进行学习了解</t>
  </si>
  <si>
    <t>1.对高斯溅射技术进行学习了解
2.跟项目业主沟通应用场景</t>
  </si>
  <si>
    <t>工地信息化系统优化点</t>
  </si>
  <si>
    <t>优化APP使用操作：一站式完成现场操作</t>
  </si>
  <si>
    <t>4月底：完成需求设计
5月底：完成开发、试点</t>
  </si>
  <si>
    <t>1.进行图片描点技术的研究</t>
  </si>
  <si>
    <t>远程养护多功能机/具身机器人</t>
  </si>
  <si>
    <t>完成方案设计
完成合作厂商选择
完成样机制造及软件开发
完成机器试点</t>
  </si>
  <si>
    <t>黄虎林，邓蓉</t>
  </si>
  <si>
    <t>三、联网收费组</t>
  </si>
  <si>
    <t>完成一体化机柜研发生产推广</t>
  </si>
  <si>
    <t>标准云站站级一体化机柜设计、生产、推广</t>
  </si>
  <si>
    <t>2月底前，完成机柜清单及规格参数定版
3月底前，完成议题上会、招采
4月底前，完成样机采购，试点
5月底前，完成设备调整完善
6月-12月，完成推广销售</t>
  </si>
  <si>
    <t>刘菊华，宁湘翼</t>
  </si>
  <si>
    <t>2月底前，完成机柜清单及规格参数定版</t>
  </si>
  <si>
    <t>已完成机柜清单及规格参数定版</t>
  </si>
  <si>
    <t>3月底前，完成议题上会、招采</t>
  </si>
  <si>
    <t>1. 需求进行了重新梳理及明确
2. 对机柜设备清单及规格明确</t>
  </si>
  <si>
    <t>4月中旬，完成方案制定
4月底完成上会及启动招采</t>
  </si>
  <si>
    <t>组织完成日常数据处理场景的报表开发</t>
  </si>
  <si>
    <t>根据业务部门日常，紧急查询数据需求，开发对应报表（查询条件可组合，所有字段可查询）</t>
  </si>
  <si>
    <t>6月底前：完成报表开发（查询条件可组合，所有字段可查询）</t>
  </si>
  <si>
    <t>启动系统调研以及相关设计工作</t>
  </si>
  <si>
    <t>1、已组织与运维组进行调研，暂时采用SQL执行的模式</t>
  </si>
  <si>
    <t>1、启动研发工作</t>
  </si>
  <si>
    <t>组织讨论，编制在收费场景下任何可能异常的场景清单，</t>
  </si>
  <si>
    <t>1、要覆盖网络、车道软件、站级软件、省中心软件、各级硬件、容器管理平台、人工误操作等一切可能出现的问题，列成异常清单
2、对异常清单，逐一讨论，分析解决方案，建立开发任务，完善软件容错性，提高稳定性、高可用性</t>
  </si>
  <si>
    <t>4月底：与涉及改造的平台完成方案确定
6月底：完成开发、上线</t>
  </si>
  <si>
    <t>罗琪琪</t>
  </si>
  <si>
    <t>整理异常清单，形成解决方案</t>
  </si>
  <si>
    <t>1、针对每个异常清单，逐一讨论形成解决方案。</t>
  </si>
  <si>
    <t>四、运维组</t>
  </si>
  <si>
    <t>调研业务部门日常，紧急查询数据需求，编制开发对应报表需求清单（查询条件可组合，所有字段可查询）</t>
  </si>
  <si>
    <t xml:space="preserve">3月底前：完成调研，编制报表需求清单
</t>
  </si>
  <si>
    <t>1、已经发任务给研发进行日常数据报表需求收集</t>
  </si>
  <si>
    <t>-10分</t>
  </si>
  <si>
    <t>1、完成日常报表需求收集，形成清单，基于清单内容进行开发</t>
  </si>
  <si>
    <t>1、已更新3月数据统计需求</t>
  </si>
  <si>
    <t>持续更新数据需求</t>
  </si>
  <si>
    <t>五、研发中心</t>
  </si>
  <si>
    <t>郭胜美</t>
  </si>
  <si>
    <t>张成礼</t>
  </si>
  <si>
    <t>AI辅助开发能力建设</t>
  </si>
  <si>
    <t>1、完成AI网关部署和配置
2、完成常用AI编程客户端工具适配和验证
3、重点验证代码补齐、单元测试生成。</t>
  </si>
  <si>
    <t>1.完成AI网关部署和配置
2.计划有调整，调研GLM5的部署，完成客户端工具选型</t>
  </si>
  <si>
    <t>1.完成GLM5的部署
2.试点claude code</t>
  </si>
  <si>
    <t>1.形成培训和分享的周常态化机制
2.进一步针对性提效</t>
  </si>
  <si>
    <t>协调研究院完成集团AI智慧大脑建设</t>
  </si>
  <si>
    <t>尹逊帅/张成礼/仇伊君</t>
  </si>
  <si>
    <t>智能视频事件识别一体机研发</t>
  </si>
  <si>
    <t>宁湘翼</t>
  </si>
  <si>
    <t xml:space="preserve">云站机柜设备清单及参数定版
</t>
  </si>
  <si>
    <t>建立集团统一的智能错误日志自动上报机制</t>
  </si>
  <si>
    <t>构建一套统一、自动、低扰、合规的错误智能上报体系，实现:
前端(浏览器)与后端(服务端)关键错误自动捕获、静默上报；错误信息自动脱敏，符合集团数据安全与隐私合规要求；相同问题智能聚类去重，避免海量无效告警；为开发团队提供可快速定位根因的结构化诊断数据。
范围：
覆盖所有集团自研B/S业务系统(Web应用)；
包含前端S异常、API失败、服务端未处理异常等核心场景；
不改变现有业务功能，以轻量SDK方式接入</t>
  </si>
  <si>
    <t>需求调研，进行初步方案梳理</t>
  </si>
  <si>
    <t>完成初步方案梳理和评审</t>
  </si>
  <si>
    <t>进行技术选型，验证技术方案可行性</t>
  </si>
  <si>
    <t>1. 针对需求和应用场景进行初步梳理以及汇报
2.已进行Sentry\cat\skywalking等组件的技术能力对比，初步确定Sentry的技术路线</t>
  </si>
  <si>
    <t>1. 进行Sentry的部署以及配置调试
2. 前端报错采集能力验证</t>
  </si>
  <si>
    <t>1. 完成Sentry24.9版本的测试环境部署以及组件调试
2. 完成前端JS\VUE2的捕获异常、未捕获异常、错误采集能力验证</t>
  </si>
  <si>
    <t>1. 进行后端JAVA的错误监控能力验证
2. 整理基于Sentry的统一错误采集系统建设方案
3、在大运营生产环境完成试点</t>
  </si>
  <si>
    <t>智能一体化机柜</t>
  </si>
  <si>
    <t>2月底前，完成机柜清单及规格参数定版
3月底前，完成议题上会、招采
4月底前，完成样机采购，试点
5月底前，完成设备调整完善</t>
  </si>
  <si>
    <t>视频一体机（长城银河）</t>
  </si>
  <si>
    <t>2月底：完成开发机组装、功能性验证、性能验证
4月底：完成软件、算法需求调研、设计；</t>
  </si>
  <si>
    <t>完成里程碑计划表</t>
  </si>
  <si>
    <t>已完成项目后续任务/里程碑计划表（草稿）</t>
  </si>
  <si>
    <t>2月底：完成开发机组装、功能性验证、性能验证</t>
  </si>
  <si>
    <t>经过验证开发板卡方案需进行调整，长城银河已配置新板卡</t>
  </si>
  <si>
    <t>在新板卡上继续进行功能性验证、性能验证</t>
  </si>
  <si>
    <t>视频一体机（信科）</t>
  </si>
  <si>
    <t>2月底：完成样机部署，产品验证
3月底：启动商务工作，完成招采，完成产品设计
4月底：完成产品认证、落地</t>
  </si>
  <si>
    <t>2月底：完成样机部署，产品验证</t>
  </si>
  <si>
    <t>已完成样机部署，产品验证</t>
  </si>
  <si>
    <t>1. 在样机上进行模型优化、进一步评估产品。
2. 完成竞品方案对比</t>
  </si>
  <si>
    <t>方案基本确定，参数待进一步敲定</t>
  </si>
  <si>
    <t>4月中旬，完成方案制定</t>
  </si>
  <si>
    <t xml:space="preserve">
数据按AI训练标准规范化</t>
  </si>
  <si>
    <t>仇伊君、黄虎林、龙炽</t>
  </si>
  <si>
    <t>以大运营板块为试点，进行统一事件模型表设计，同步进行运营板块业务数据治理，提升数据质量</t>
  </si>
  <si>
    <t>已完成运营场景AI训练事件模型设计初版，包括事件模型核心字段以及场景拓展字段；
已完成AI训练事件数据全链路流程规范初稿</t>
  </si>
  <si>
    <t xml:space="preserve">评审事件模型设计以及链路流程规，形成统一技术标准；
</t>
  </si>
  <si>
    <t>完成运营场景AI训练事件模型设计</t>
  </si>
  <si>
    <t>统一任务中心与数据协作平台</t>
  </si>
  <si>
    <t>完成统一任务中心与数据协作平台开发，业务系统配合完成任务消息接口的对接、数据超市的开发</t>
  </si>
  <si>
    <t>完成AI辅助编程部署后，利用AI能力开发，</t>
  </si>
  <si>
    <t>张成礼、周全</t>
  </si>
  <si>
    <t>待AI编程能力部署好
之后开始实施</t>
  </si>
  <si>
    <t>AI编程能力已准备好，
可以开始实施。</t>
  </si>
  <si>
    <t>需求调研</t>
  </si>
  <si>
    <t>5.1.0</t>
  </si>
  <si>
    <t>数据超市</t>
  </si>
  <si>
    <t>将“取数需求”转化为标准化任务。为此，需要数据中台提供标准化的数据服务接口、动态安全处理能力（脱敏/水印），以支撑“数据超市”模式的落地。</t>
  </si>
  <si>
    <t>4月底：完成云资源分配以及平台上线
5月底：完成平台上线，完成资源运营门户首页、资源查询功能上线
6月：数据标准、质量管理、问数、审批流程模块开发上线</t>
  </si>
  <si>
    <t>计划通过数据资源管理平台实现</t>
  </si>
  <si>
    <t>完成数据资源管理平台第一版开发，包括元数据管理、数据标准等功能模块</t>
  </si>
  <si>
    <t>数据资源管理平台：完成数据运营门户、资源查询、资源运营等功能模块开发，待云资源分配后完成部署后测试；
集团中台：数据资源目录初版，全面数据接入情况、字段缺失情况评估（进度50%）</t>
  </si>
  <si>
    <t>数据资源管理平台：完成内部测试与上线试运行；第二版本开发：完成数据分类分级、数据质量工单等功能模块的开发，与OA系统指进行工单任务流程对接；
优化集团中台测数据目录并完成评审，完成字段缺失情况评估；</t>
  </si>
  <si>
    <t>六、质量管控中心</t>
  </si>
  <si>
    <t>AI辅助自动化测试</t>
  </si>
  <si>
    <t>1、单元测试代码自动化生成；
2、核心业务系统的主要业务流程完成自动化测试脚本编制、维护</t>
  </si>
  <si>
    <t>3月底：完成试点
6月底：完成部门内推广</t>
  </si>
  <si>
    <t>郭胜美，张成礼</t>
  </si>
  <si>
    <t>形成初步的生成方案和统计方案</t>
  </si>
  <si>
    <t>软件质量及规范性检查</t>
  </si>
  <si>
    <t>完成软件质量及项目质量检查规范化，常态化</t>
  </si>
  <si>
    <t>2月底前：完成检查表针对性调整（重点在于软件基本质量、用户友好性、看板效果、项目研发流程规范）；专项人员配置
3月底前：完成试点，建立对检查人员的考核指标，纳入KPI考核内容
4月底前：完成人员增配后，全面实施，</t>
  </si>
  <si>
    <t>出具检查表初稿并组织评审</t>
  </si>
  <si>
    <t xml:space="preserve">已完成，位置：易趋/公共文档库/部门制度/部门考核管理办法
</t>
  </si>
  <si>
    <t>1、检查表优化
2、人员配置</t>
  </si>
  <si>
    <t>1、已优化
2、人员招聘中</t>
  </si>
  <si>
    <t>人员招聘</t>
  </si>
  <si>
    <t>单位：万元</t>
  </si>
  <si>
    <t>2026经营性目标--商务目标</t>
  </si>
  <si>
    <t>项目类别</t>
  </si>
  <si>
    <t>计划完成</t>
  </si>
  <si>
    <t>完成比例</t>
  </si>
  <si>
    <t>预计计量收入（含税）</t>
  </si>
  <si>
    <t>预计计量成本（含税）</t>
  </si>
  <si>
    <t>预计当年毛利（含税）</t>
  </si>
  <si>
    <t>预计计量收入（不含税）</t>
  </si>
  <si>
    <t>预计计量成本（不含税）</t>
  </si>
  <si>
    <t>预计当年毛利（不含税）</t>
  </si>
  <si>
    <t>实际计量收入（含税）</t>
  </si>
  <si>
    <t>实际计量成本（含税）</t>
  </si>
  <si>
    <t>实际当年毛利（含税）</t>
  </si>
  <si>
    <t>实际计量收入（不含税）</t>
  </si>
  <si>
    <t>实际计量成本（不含税）</t>
  </si>
  <si>
    <t>实际当年毛利（不含税）</t>
  </si>
  <si>
    <t>实际订单/合同额完成比例</t>
  </si>
  <si>
    <t>实际计量收入完成比例</t>
  </si>
  <si>
    <t>实际计量成本完成比例</t>
  </si>
  <si>
    <t>实际当年毛利完成比例</t>
  </si>
  <si>
    <t>计划签订合同金额
(万元)</t>
  </si>
  <si>
    <t>计划回款金额
(万元)</t>
  </si>
  <si>
    <t>预估收入计量
（万元）</t>
  </si>
  <si>
    <t>预估支出计量
（万元）</t>
  </si>
  <si>
    <t>实际签订合同金额
(万元)</t>
  </si>
  <si>
    <t>实际回款金额
(万元)</t>
  </si>
  <si>
    <t>实际收入计量
（万元）</t>
  </si>
  <si>
    <t>实际支出计量
（万元）</t>
  </si>
  <si>
    <t>一、商（产）品销售收入</t>
  </si>
  <si>
    <t>二、工程结算收入</t>
  </si>
  <si>
    <t>三、劳务收入</t>
  </si>
  <si>
    <t>四、资产租赁收入</t>
  </si>
  <si>
    <t>五、技术咨询服务收入</t>
  </si>
  <si>
    <t>一、商（产）品销售成本</t>
  </si>
  <si>
    <t>二、工程结算成本</t>
  </si>
  <si>
    <t>三、劳务成本</t>
  </si>
  <si>
    <t>四、资产租赁成本</t>
  </si>
  <si>
    <t>五、技术咨服务成本</t>
  </si>
  <si>
    <t>一</t>
  </si>
  <si>
    <t>数字化转型项目项目部</t>
  </si>
  <si>
    <t>组内商务负责人</t>
  </si>
  <si>
    <t>2025年及以前延续项目</t>
  </si>
  <si>
    <t>数字化转型项目</t>
  </si>
  <si>
    <t xml:space="preserve">数字底座 </t>
  </si>
  <si>
    <t>叶萍</t>
  </si>
  <si>
    <t>一张网</t>
  </si>
  <si>
    <t>智慧站点</t>
  </si>
  <si>
    <t>干线通道</t>
  </si>
  <si>
    <t>宣传推广服务</t>
  </si>
  <si>
    <t>地标编制技术咨询服务</t>
  </si>
  <si>
    <t>视频监测优化提升</t>
  </si>
  <si>
    <t>设计变更部分</t>
  </si>
  <si>
    <t>感动21个点</t>
  </si>
  <si>
    <t>小计：</t>
  </si>
  <si>
    <t>二</t>
  </si>
  <si>
    <t>集团信息化组</t>
  </si>
  <si>
    <t>2026年新增项目</t>
  </si>
  <si>
    <t>26年1+3+N项目</t>
  </si>
  <si>
    <t>郑丹妮</t>
  </si>
  <si>
    <t>流程搭建</t>
  </si>
  <si>
    <t>2025年延续项目</t>
  </si>
  <si>
    <t>2025年1+3+N</t>
  </si>
  <si>
    <t>广通服务区系统数据迁移整合项目</t>
  </si>
  <si>
    <t>三</t>
  </si>
  <si>
    <t>工程建养管组（建设）</t>
  </si>
  <si>
    <t>工地信息化</t>
  </si>
  <si>
    <t>建设管理一体化平台</t>
  </si>
  <si>
    <t>合同签订，收入计量，回款跟进，成本结算，款项支付</t>
  </si>
  <si>
    <t>上半年完成新新、城龙等已通车项目的合同签订工作，完成耒宜扩容，零道项目合同签订工作，完成与桂新路面标、株耒扩容、桂郴、临岳长扩容项目业主的汇报工作，初步确定合同金额，完成与标段的一轮商务洽谈，同步推进收入计量，回款跟进，成本结算，款项支付工作
下半年完成桂新路面标100%合同签订工作，完成株耒扩容、桂郴、临岳长扩容项目合同签订工作不低于30%，同步推进收入计量，回款跟进，成本结算，款项支付工作</t>
  </si>
  <si>
    <t>谢森宇</t>
  </si>
  <si>
    <t>平安工地建设管理平台</t>
  </si>
  <si>
    <t>智慧工地质量管理系统</t>
  </si>
  <si>
    <t>农民工工资服务监管平台</t>
  </si>
  <si>
    <t>试验质检及电子档案系统</t>
  </si>
  <si>
    <t>1+3+N技术劳务服务项目</t>
  </si>
  <si>
    <t>1+3+N技术劳务服务项目（长周期养护生产系统、业财一体化平台、施工项目管理系统、安全监管子系统）</t>
  </si>
  <si>
    <t>跟进合同签订，收入计量，回款跟进，成本结算，款项支付工作</t>
  </si>
  <si>
    <t>工程建养管组（养护）[大运营]</t>
  </si>
  <si>
    <t>新新高速邵阳段隧道对接（自研）</t>
  </si>
  <si>
    <t>唐可莹</t>
  </si>
  <si>
    <t>湖南省高速公路联网收费管理有限公司 省联网中心项目信息化平台开发项目</t>
  </si>
  <si>
    <t>国高网轻量化桥梁</t>
  </si>
  <si>
    <t>隧道结构监测</t>
  </si>
  <si>
    <t>待签订合同</t>
  </si>
  <si>
    <t>官新数字孪生</t>
  </si>
  <si>
    <t>芷铜数字孪生</t>
  </si>
  <si>
    <t>桥梁监测接入软件部分（湖南省高速公路集团桥梁结构健康监测系统）</t>
  </si>
  <si>
    <t>四</t>
  </si>
  <si>
    <t>联网收费组（数智云、轻量化云）</t>
  </si>
  <si>
    <t>组内商务负责人（没有就由组长兼任）</t>
  </si>
  <si>
    <t>桂新3个站（3新建）</t>
  </si>
  <si>
    <t>计划12月完成3个站</t>
  </si>
  <si>
    <t>陈若霜</t>
  </si>
  <si>
    <t>零道5个站（5新建）</t>
  </si>
  <si>
    <t>计划12月份完成5个站</t>
  </si>
  <si>
    <t>临岳4个站（4改造）</t>
  </si>
  <si>
    <t>计划6月完成1个站，7月完成1个站，8月完成2个站</t>
  </si>
  <si>
    <t>朱耒2个站（2改造）</t>
  </si>
  <si>
    <t>计划8月完成2个站</t>
  </si>
  <si>
    <t>耒宜3个站（1新建+2改造）</t>
  </si>
  <si>
    <t>计划8月完成3个站</t>
  </si>
  <si>
    <t>张官3个站（3新建）</t>
  </si>
  <si>
    <t>计划9月完成3个站</t>
  </si>
  <si>
    <t>数转17个站</t>
  </si>
  <si>
    <t>计划6月完成1个站，7月完成3个站，8月完成9个站，10月完成4个站</t>
  </si>
  <si>
    <t>常德分公司轻量化云站改造1个站</t>
  </si>
  <si>
    <t>申素锋</t>
  </si>
  <si>
    <t>郴州分公司轻量化云站改造1个站</t>
  </si>
  <si>
    <t>怀化分公司轻量化云站改造1个站</t>
  </si>
  <si>
    <t>娄底分公司轻量化云站改造6个站</t>
  </si>
  <si>
    <t>现代运营分公司轻量化云站改造1个站</t>
  </si>
  <si>
    <t>湘潭分公司轻量化云站改造2个站</t>
  </si>
  <si>
    <t>湘西分公司轻量化云站改造1个站</t>
  </si>
  <si>
    <t>益阳分公司轻量化云站改造7个站</t>
  </si>
  <si>
    <t>永州分公司轻量化云站改造1个站</t>
  </si>
  <si>
    <t>岳阳分公司轻量化云站改造1个站</t>
  </si>
  <si>
    <t>长沙分公司轻量化云站改造5个站</t>
  </si>
  <si>
    <t>株洲分公司轻量化云站改造4个站</t>
  </si>
  <si>
    <t>云溪数智云收费站采购项目</t>
  </si>
  <si>
    <t>1、5月份完成计量及开票。</t>
  </si>
  <si>
    <t>星沙数智云质保金</t>
  </si>
  <si>
    <t>安江数智云质保金</t>
  </si>
  <si>
    <t>洞口数智云质保金</t>
  </si>
  <si>
    <t>金醴高速计费升级</t>
  </si>
  <si>
    <t>朗为机器人对接</t>
  </si>
  <si>
    <t>岳常高速安乡收费站机器人对接</t>
  </si>
  <si>
    <t>坪塘收费站潮汐车道软件</t>
  </si>
  <si>
    <t>五、</t>
  </si>
  <si>
    <t>联网收费组（非数智云）</t>
  </si>
  <si>
    <t>耒宜智慧保通</t>
  </si>
  <si>
    <t>戴瑾</t>
  </si>
  <si>
    <t>株耒智慧保通</t>
  </si>
  <si>
    <t>岳临长智慧保通</t>
  </si>
  <si>
    <t>机场高速纸改电
（暂时搁置）</t>
  </si>
  <si>
    <t xml:space="preserve">  </t>
  </si>
  <si>
    <t>联网公司十项优化</t>
  </si>
  <si>
    <t>安邵高速涟源东收费站手持机（外部营收）</t>
  </si>
  <si>
    <t>汇豪车道扫码设备入网测试（外部营收）</t>
  </si>
  <si>
    <t>益常高速德山收费站收费车道优化升级湖南收费软件（外部营收）</t>
  </si>
  <si>
    <t>茶常路段二维码</t>
  </si>
  <si>
    <t>中天机器人</t>
  </si>
  <si>
    <t>耒宜七方三保</t>
  </si>
  <si>
    <t>机电分公司二维码120万（城龙50万，新新70万）</t>
  </si>
  <si>
    <t>怀化分公司改造</t>
  </si>
  <si>
    <t>小计</t>
  </si>
  <si>
    <t>六</t>
  </si>
  <si>
    <t>运维</t>
  </si>
  <si>
    <t>联网收费运维</t>
  </si>
  <si>
    <t>1、3月完成收入；
2、4月支出合同签订；
3、4月完成第一季度计量、回款、劳务支付；
4、7月完成第二季度计量、回款、劳务支付；
5、10月完成第三季度计量、回款、劳务支付；
6、2026年1月完成验收、计量、回款、劳务支付;</t>
  </si>
  <si>
    <t>朱梦琴</t>
  </si>
  <si>
    <t>财务公司机房运维</t>
  </si>
  <si>
    <t>1、7月计量上半年验收、计量、回款、劳务支付;
2、12月完成下半年验收、计量、回款、劳务支付;</t>
  </si>
  <si>
    <t>安全加固</t>
  </si>
  <si>
    <t>1、5月完成支出合同签订；</t>
  </si>
  <si>
    <t>上述项目机电分公司部分利润</t>
  </si>
  <si>
    <t>总部办公大楼及机房2025-2027年运维项目</t>
  </si>
  <si>
    <t>1、7月完成上半年计量、验收、回款、劳务支付；
2、12月完成下半年计量；</t>
  </si>
  <si>
    <t>其他</t>
  </si>
  <si>
    <t>合计</t>
  </si>
  <si>
    <t>2025年经营性目标--业务目标</t>
  </si>
  <si>
    <t>项目负责人当月得分</t>
  </si>
  <si>
    <t>考核专员当月得分</t>
  </si>
  <si>
    <t>一、</t>
  </si>
  <si>
    <t>二、</t>
  </si>
  <si>
    <t>工程建管组</t>
  </si>
  <si>
    <t>三、</t>
  </si>
  <si>
    <t>联网收费组</t>
  </si>
  <si>
    <t>四、</t>
  </si>
  <si>
    <t>运维组</t>
  </si>
  <si>
    <t>质控组</t>
  </si>
  <si>
    <t>六、</t>
  </si>
  <si>
    <t>解决方案组</t>
  </si>
  <si>
    <t>七</t>
  </si>
  <si>
    <t>技术中心组</t>
  </si>
  <si>
    <t>2025年能力建设目标--  软件产品规划分析、创新能力建设</t>
  </si>
  <si>
    <t>何穹雕</t>
  </si>
  <si>
    <t>1、对每项KPA，填写2025年的目标和阶段性成果计划
2、已完成的，就写已完成
3、尽量将KPA具体化，周期性任务的，就写纳入周期性任务，定期完成。</t>
  </si>
  <si>
    <t>目的：</t>
  </si>
  <si>
    <t>确保团队在产品开发过程中能够制定清晰的产品规划，明确产品愿景，为产品的长期发展提供战略指导。</t>
  </si>
  <si>
    <t>KPA 1.1：每季度评估市场趋势和用户需求，更新产品愿景。</t>
  </si>
  <si>
    <t>每季度评估市场趋势和用户需求，确保产品愿景与市场保持一致</t>
  </si>
  <si>
    <t>1-2月: 制定市场趋势和用户需求评估计划。
3-4月: 进行第一轮市场趋势和用户需求评估。
5-6月: 分析评估结果，更新产品愿景。
7-8月: 准备并执行第二轮市场趋势和用户需求评估。
9-10月: 更新产品愿景，确保产品方向明确。</t>
  </si>
  <si>
    <t>KPA 1.2：制定年度产品战略计划，明确产品的核心竞争力和市场定位。</t>
  </si>
  <si>
    <t>制定年度产品战略计划，明确产品的核心竞争力和市场定位。</t>
  </si>
  <si>
    <t>1-2月: 制定年度产品战略计划，明确核心竞争力。
3-4月: 定期检查计划，确保与市场一致。
5-6月: 调整计划，适应市场变化。
7-8月: 最终确定年度产品战略计划。</t>
  </si>
  <si>
    <t>KPA 1.3：建立竞品分析机制，定期评估市场变化，调整产品战略。</t>
  </si>
  <si>
    <t>建立竞品分析机制，根据市场变化调整产品战略。</t>
  </si>
  <si>
    <t>1-2月: 设计竞品分析机制，明确调整频率。
3-4月: 进行第一轮竞品分析，调整产品战略。
5-6月: 准备并执行第二轮竞品分析，完善调整措施。</t>
  </si>
  <si>
    <t>KPA 2.1：设立产品规划团队，定期制定产品长期和短期路线图。</t>
  </si>
  <si>
    <t>设立产品规划团队，制定产品长期和短期路线图，确保产品发展方向明确。</t>
  </si>
  <si>
    <t>1-2月: 确定产品规划团队成员，制定年度产品规划计划。
3-4月: 制定产品长期路线图，明确未来发展方向。
5-6月: 确立产品短期路线图，明确下一阶段发展计划。
7-8月: 定期更新路线图，确保适应市场变化。</t>
  </si>
  <si>
    <t>KPA 2.2：每月进行产品特性的优先级评估，确保开发焦点符合市场需求。</t>
  </si>
  <si>
    <t>每月进行产品特性的优先级评估，确保开发焦点符合市场需求</t>
  </si>
  <si>
    <t>1-2月: 设计产品特性评估机制，明确评估标准。
3-4月: 进行第一轮产品特性评估，优化开发计划。
5-6月: 调整优先级，确保与市场需求一致。
7-8月: 进行第二轮产品特性评估，调整开发焦点。</t>
  </si>
  <si>
    <t>KPA 2.3：引入敏捷开发方法，灵活调整产品开发计划，应对市场变化。</t>
  </si>
  <si>
    <t>引入敏捷开发方法，灵活调整产品开发计划，应对市场变化。</t>
  </si>
  <si>
    <t>1-2月: 制定敏捷开发引入计划，培训团队成员。
3-4月: 实施敏捷开发方法，进行第一次调整。
5-6月: 定期回顾和优化敏捷开发流程。
7-8月: 进行第二次敏捷开发调整，确保适应市场变化。</t>
  </si>
  <si>
    <t>KPA 3.1：每季度进行用户研究，收集用户反馈和需求，调整产品设计。</t>
  </si>
  <si>
    <t>每季度进行用户研究，收集用户反馈和需求，调整产品设计。</t>
  </si>
  <si>
    <t>1-2月: 设计用户研究计划，明确调查方法和工具。
3-4月: 进行第一轮用户研究，收集用户反馈。
5-6月: 分析用户反馈，提炼需求，调整产品设计。
7-8月: 定期更新产品设计，确保符合用户期望。
9-10月: 进行第二轮用户研究，确认产品调整效果。
11-12月: 结合年度总结，进一步优化产品设计，确保满足用户期望。</t>
  </si>
  <si>
    <t>KPA 3.2：设立产品设计小组，负责从用户角度出发，制定产品设计原则。</t>
  </si>
  <si>
    <t>设立产品设计小组，从用户角度出发，制定产品设计原则。</t>
  </si>
  <si>
    <t>1-2月: 策划产品设计小组，确定成员和职责。
3-4月: 制定产品设计原则，确保与用户需求一致。
5-6月: 整合设计小组意见，更新产品设计方针。
7-8月: 小组成员培训，确保理解并应用设计原则。
9-10月: 小组成员参与产品设计和调整，确保设计原则贯彻实施。
11-12月: 回顾小组工作，进行年度总结，调整设计方针。</t>
  </si>
  <si>
    <t>KPA 3.3：引入用户体验（UX）设计方法，提升产品的易用性和用户满意度。</t>
  </si>
  <si>
    <t>引入用户体验（UX）设计方法，提升产品的易用性和用户满意度。</t>
  </si>
  <si>
    <t>1-2月: 研究用户体验设计方法，准备引入计划。
3-4月: 引入UX设计方法，进行第一次应用。
5-6月: 收集用户体验数据，进行设计优化。
7-8月: 进行第二次UX设计，确保产品易用性和用户满意度提升。
9-10月: 持续应用UX设计方法，监测用户体验变化。
11-12月: 结合年度总结，对UX设计进行回顾和优化，确保产品持续改进。</t>
  </si>
  <si>
    <t>确保团队在需求分析阶段能够充分理解用户需求，提高需求分析的准确性和完整性。</t>
  </si>
  <si>
    <t>KPA 1.1：每季度进行需求获取与沟通技能培训，提升团队成员的沟通和理解能力。</t>
  </si>
  <si>
    <t xml:space="preserve"> 每季度进行需求获取与沟通技能培训，提升团队成员的沟通和理解能力。</t>
  </si>
  <si>
    <t>已经实施，每月由产品主管进行培训，并纳入KPI</t>
  </si>
  <si>
    <t>KPA 1.2：设立定期的用户沟通会议，直接与用户交流，深入挖掘用户真正的需求。</t>
  </si>
  <si>
    <t>设立定期的用户沟通会议，直接与用户交流，深入挖掘用户真正的需求。</t>
  </si>
  <si>
    <t>1-2月: 规划用户沟通会议计划，确定频率和参与人员。
3-4月: 进行第一次用户沟通会议，了解用户需求和反馈。
5-6月: 根据第一次会议的收获，调整会议形式和内容，提高参与度。
7-8月: 进行第二次用户沟通会议，深入挖掘用户对产品的期望。
9-10月: 持续定期用户沟通，确保随时获取用户最新需求。
11-12月: 结合用户会议总结，形成年度用户需求报告，指导产品规划。</t>
  </si>
  <si>
    <t>KPA 1.3：实施需求评审制度，确保需求文档的准确性和完整性。</t>
  </si>
  <si>
    <t>实施需求评审制度，确保需求文档的准确性和完整性。</t>
  </si>
  <si>
    <t>已实施，纳入了KPI指标</t>
  </si>
  <si>
    <t>KPA 2.1：引入需求建模工具，支持用例图、活动图等建模技术的应用。</t>
  </si>
  <si>
    <t>引入需求建模工具，支持用例图、活动图等建模技术的应用</t>
  </si>
  <si>
    <t>1-2月: 选择和采购适用的需求建模工具，进行系统培训。
3-4月: 制定需求建模标准，推动团队熟练掌握建模技术。
5-6月: 开始在项目中应用建模工具，逐步提高建模效率。
7-8月: 收集建模工具使用反馈，进行必要的调整和培训。
9-10月: 确保所有相关项目都在使用建模工具进行需求分析。
11-12月: 对建模工具使用情况进行年度总结，制定下一年度的使用计划。</t>
  </si>
  <si>
    <t>KPA 2.2：每月组织需求分析讨论会，分享并优化需求建模经验，形成最佳实践。</t>
  </si>
  <si>
    <t>每月组织需求分析讨论会，分享并优化需求建模经验，形成最佳实践。</t>
  </si>
  <si>
    <t>1-2月: 制定讨论会计划，确定参与人员和议题。
3-4月: 进行第一次需求分析讨论会，分享团队成员的建模经验。
5-6月: 根据第一次讨论的反馈，调整讨论会形式和内容。
7-8月: 持续组织讨论会，确保团队成员积极分享经验。
9-10月: 定期总结讨论会的收获，形成需求分析优化报告。
11-12月: 制定下一年度的讨论会计划，确保持续提升团队的需求分析水平。</t>
  </si>
  <si>
    <t>KPA 2.3：设立专门的需求分析师角色，负责对复杂需求进行深度分析和建模。</t>
  </si>
  <si>
    <t>已实施</t>
  </si>
  <si>
    <t>KPA 3.1：制定需求变更管理规范，包括变更流程、变更评审和变更记录的管理。</t>
  </si>
  <si>
    <t>制定规范，包括变更流程、评审和记录的管理</t>
  </si>
  <si>
    <t>已在部门制度规范建立</t>
  </si>
  <si>
    <t>KPA 3.2：设立变更评审委员会，对重大变更进行评审，降低变更引入的风险。</t>
  </si>
  <si>
    <t>设立委员会，对重大变更进行评审。</t>
  </si>
  <si>
    <t>根据实际情况，暂需要建立</t>
  </si>
  <si>
    <t>KPA 3.3：每季度对过去变更的执行情况进行总结和分析，提出优化建议。</t>
  </si>
  <si>
    <t>每季度总结过去变更执行情况，提出优化建议。</t>
  </si>
  <si>
    <t>1-2月: 制定季度总结方案。
3-4月: 进行第一次总结，提出改进建议。
7-8月: 进行第二次总结，更新建议。
11-12月: 进行第三次总结，提高总结效果。</t>
  </si>
  <si>
    <t>KPA 4.1：建立需求追踪矩阵，将每个需求与相应的设计和测试工作关联起来。</t>
  </si>
  <si>
    <t>建立矩阵，将需求与设计和测试工作关联。</t>
  </si>
  <si>
    <t>已在项目管理工具表中建立</t>
  </si>
  <si>
    <t>KPA 4.2：设立需求变更日志，记录每个需求的变更历史，方便溯源和审计。</t>
  </si>
  <si>
    <t>设立日志，记录需求的变更历史，方便溯源和审计。</t>
  </si>
  <si>
    <t>3-4月: 设计并建立需求变更日志。
5-8月: 记录需求变更，维护日志记录。
11-12月: 定期审查日志，确保完整性。</t>
  </si>
  <si>
    <t>KPA 4.3：定期进行需求追踪与溯源的检查，及时发现和解决需求实现偏差。</t>
  </si>
  <si>
    <t xml:space="preserve"> 定期检查需求追踪与溯源，发现和解决实现偏差。</t>
  </si>
  <si>
    <t>5-6月: 制定检查计划，建立检查机制。
7-8月: 进行第一次检查，提出改进建议。
11-12月: 进行第二次检查，更新机制，提高效果。</t>
  </si>
  <si>
    <t>2025年能力建设目标--技术研发能力建设</t>
  </si>
  <si>
    <t>二、技术研发能力建设方面</t>
  </si>
  <si>
    <t>1、目标： 进行现有平台架构评估，提出优化方案以适应未来数字化需求。引入云原生架构、微服务体系，提高系统的灵活性和可扩展性。</t>
  </si>
  <si>
    <t>2、措施：</t>
  </si>
  <si>
    <t>完成建设平台质量模块的架构优化升级</t>
  </si>
  <si>
    <t>1-3月： 完成质量模块优化的方案制定。
4-6月：完成质量模块优化的优化升级。</t>
  </si>
  <si>
    <t>针对大运营数据量大，架构不稳定等方面进行架构优化</t>
  </si>
  <si>
    <t>1-3月: 完成大运营优化方案的制定（分三个阶段实施）。
4-6月: 完成大运营第一阶段优化的升级（具体升级内容按照优化方案制定）。
7-9月: 完成大运营第二阶段优化的升级（具体升级内容按照优化方案制定）。
10-12月: 完成大运营第三阶段优化的升级（具体升级内容按照优化方案制定）。</t>
  </si>
  <si>
    <t>对关键代码进行优化，保证业务的稳定性</t>
  </si>
  <si>
    <t>1-3月: 梳理代码优化场景，制定优化方案（分两阶段实施）。
4-5月:  完成第一阶段优化的升级（具体升级内容按照优化方案制定）。
6-8月:  完成第一阶段优化的升级（具体升级内容按照优化方案制定）。</t>
  </si>
  <si>
    <t>1-3月: 梳理代码优化场景，制定优化方案（分两阶段实施）。
4-5月:  完成第一阶段优化的升级（具体升级内容按照优化方案制定）。
6-8月:  完成第二阶段优化的升级（具体升级内容按照优化方案制定）。</t>
  </si>
  <si>
    <t>目标： 实现自动化构建、测试和部署，加速交付流程。</t>
  </si>
  <si>
    <t>KPA 1： 完成集团信息化系统的发布平台接入。</t>
  </si>
  <si>
    <t>实现发布平台的全量接入</t>
  </si>
  <si>
    <t>1-3月: 现有系统的发布平台接入情况，制定接入计划（分两阶段实施）。
4-5月:  完成第一阶段接入任务（具体升级内容按照优化方案制定）。
6-8月:  完成第二阶段接入任务（具体升级内容按照优化方案制定）。</t>
  </si>
  <si>
    <t>KPA 2： 完成建管养系统的发布平台接入。</t>
  </si>
  <si>
    <t>目标： 提高应用的可伸缩性和可部署性。</t>
  </si>
  <si>
    <t>KPA 1： 完成集团信息化系统的容器平台接入。</t>
  </si>
  <si>
    <t>实现全量平台应用的容器平台接入</t>
  </si>
  <si>
    <t>KPA 2： 完成建管养系统的容器平台接入。</t>
  </si>
  <si>
    <t>目标： 确保项目群内各项目与部门的战略目标紧密一致。</t>
  </si>
  <si>
    <t>KPA 1： 制定项目群战略目标，每季度评估与部门战略的关联性，及时调整战略目标。</t>
  </si>
  <si>
    <t>完成项目群战略目标的制订</t>
  </si>
  <si>
    <t>1-3月：完成项目群战略目标制订
4-6月：评估部门战略关联性
7-9月：评估部门战略关联性
10-12月：评估部门战略关联性</t>
  </si>
  <si>
    <t>KPA 2： 进行每半年的项目群战略规划会议，确保项目群的方向与业务战略一致。</t>
  </si>
  <si>
    <t>组织项目群战略规划会议</t>
  </si>
  <si>
    <t>1-6月：召开项目群战略规划会议
7-12月：召开项目群战略规划会议</t>
  </si>
  <si>
    <t>KPA 3： 使用项目检查等战略管理工具，每月定期评估项目群战略目标的实现情况，制定改进计划。</t>
  </si>
  <si>
    <t>项目群战略目标改进计划</t>
  </si>
  <si>
    <t>每月定期评估，制订改进计划</t>
  </si>
  <si>
    <t>目标： 保障项目群内各项目协同工作，整合资源，实现项目群目标。</t>
  </si>
  <si>
    <t>KPA 1： 成立项目群办公室（PMO），每季度评估PMO的协调效果，进行调整和优化。</t>
  </si>
  <si>
    <t>成立PMO小组</t>
  </si>
  <si>
    <t>1-3月：完成PMO小组的设立及对应职责的制订
4-6月：评估PMO小组的协调效果，提出调整优化建议
7-9月：评估PMO小组的协调效果，提出调整优化建议
10-12月：评估PMO小组的协调效果，提出调整优化建议</t>
  </si>
  <si>
    <t>KPA 2： 使用项目协作平台，每月进行协作效果评估，更新协作平台工具。</t>
  </si>
  <si>
    <t>1.选择项目协作平台工具
2.更新协作平台工具</t>
  </si>
  <si>
    <t>1月：完成协作平台工具的选定
2-12月：每月进行协作效果评估，更新协作平台工具</t>
  </si>
  <si>
    <t>KPA 3： 定期组织项目群整体评审会议，每季度审查各项目进展和依赖关系，解决跨项目的问题。</t>
  </si>
  <si>
    <t>召开项目群整体评审会议，解决跨项目问题</t>
  </si>
  <si>
    <t>每季度组织项目群整体评审会议，协调处理解决跨项目问题</t>
  </si>
  <si>
    <t>目标： 确保项目群内资源最优配置，满足各项目的需求。</t>
  </si>
  <si>
    <t>KPA 1： 实施资源管理系统，每月监控和调配项目群内资源的使用情况。</t>
  </si>
  <si>
    <t>1.选定资源管理系统
2.监控项目群内资源使用情况</t>
  </si>
  <si>
    <t>1月：完成资源管理系统的选定
2-12月：每月监控项目群资源使用情况，根据实际情况进行资源调配</t>
  </si>
  <si>
    <t>KPA 2： 成立专业的资源管理团队，每季度评估资源调配的效果，进行优化。</t>
  </si>
  <si>
    <t>1.成立资源管理团队
2.评估资源方案，优化资源分配</t>
  </si>
  <si>
    <t>1-2月：完成资源管理团队建立
每季度评估资源使用情况及调配方案，制订优化方案</t>
  </si>
  <si>
    <t>KPA 3： 使用资源平衡工具，每半年协助规划和调整资源分配，确保最佳配置。</t>
  </si>
  <si>
    <t>对资源分配进行调整</t>
  </si>
  <si>
    <t>每半年对资源分配情况及项目群内项目资源使用情况进行梳理，调整配置，达成资源分配最优解</t>
  </si>
  <si>
    <t>目标： 提前识别和管理项目群级别的风险和问题，确保项目群目标的实现。</t>
  </si>
  <si>
    <t>KPA 1： 建立项目群级别的风险和问题登记册，每月集中管理各项目的风险和问题。</t>
  </si>
  <si>
    <t>1.建立风险登记册
2.根据风险登记册中各事项进展</t>
  </si>
  <si>
    <t>1-2月：完成项目群级别风险和问题登记册模板的制订，并完成风险问题的录入
每月根据登记册中各事项的执行情况与应对方案</t>
  </si>
  <si>
    <t>KPA 2： 成立风险和问题应对小组，每季度响应和解决项目群级别的挑战。</t>
  </si>
  <si>
    <t>1.成立风险和问题应对小组
2.解决垮项目级的风险问题</t>
  </si>
  <si>
    <t>1-2月：成立应对小组
每季度组织会议，针对垮项目级的风险讨论形成解决方案</t>
  </si>
  <si>
    <t>KPA 3： 使用专业项目群管理软件，每半年提高对风险和问题的可视化管理水平。</t>
  </si>
  <si>
    <t>1.项目群管理软件选型
2.形成对风险和问题的可视化管理能力</t>
  </si>
  <si>
    <t>1-2月：完成项目群管理软件的选型
每半年对软件的使用进行专题研讨会议，形成风险和问题的可视化管理水平</t>
  </si>
  <si>
    <t>目标： 确保项目群绩效达到湖南高速集团的期望，保持高效运转。</t>
  </si>
  <si>
    <t>KPA 1： 制定项目群绩效指标，每月监控项目交付质量、时间和成本等方面。</t>
  </si>
  <si>
    <t>制订项目群绩效指标</t>
  </si>
  <si>
    <t>1-2月：制订项目群绩效指标
每月对项目三要素进行监控，出具情况汇报</t>
  </si>
  <si>
    <t>KPA 2： 每季度进行项目群绩效评估，与初期设定的目标进行对比，找出潜在改进点。</t>
  </si>
  <si>
    <t>出具项目群改进意见</t>
  </si>
  <si>
    <t>每季度对项目群绩效进行评估，通过与初期目标进行对比，提出改进意见，形成书面报告</t>
  </si>
  <si>
    <t>KPA 3： 使用绩效监控工具，每半年生成实时的项目群绩效报告，提供数据支持决策。</t>
  </si>
  <si>
    <t>项目群绩效报告</t>
  </si>
  <si>
    <t>每半年根据绩效监控工具的结果，对项目群的绩效信息形成绩效报告</t>
  </si>
  <si>
    <t>目标： 保持项目群内外的有效沟通，满足各方需求，确保项目群目标的理解一致。</t>
  </si>
  <si>
    <t>KPA 1： 制定项目群沟通计划，每月进行一次与湖南高速集团及各项目团队之间的有效沟通。</t>
  </si>
  <si>
    <t>1.制订项目群沟通计划
2.按计划实施沟通</t>
  </si>
  <si>
    <t>1-2月：制订项目群沟通计划
每月组织相关方进行沟通，形成会议纪要</t>
  </si>
  <si>
    <t>KPA 2： 成立沟通团队，每季度评估沟通计划的执行情况，调整和更新计划。</t>
  </si>
  <si>
    <t>1.成立沟通团队
2.调整和更新沟通计划</t>
  </si>
  <si>
    <t>1-2月：成立沟通团队
每季度评估沟通计划的执行效果，根据实际情况对沟通计划进行调整更新</t>
  </si>
  <si>
    <t>KPA 3： 定期召开利益相关方会议，每半年了解各方需求，调整项目群执行计划。</t>
  </si>
  <si>
    <t>收集需求，调整项目群执行计划</t>
  </si>
  <si>
    <t>每半年召开利益相关方会议，收集各方需求，根据结果对项目群执行计划进行优化调整</t>
  </si>
  <si>
    <t>目标： 确保项目群内团队的知识得以传承，提高项目群的整体水平。</t>
  </si>
  <si>
    <t>KPA 1： 建立项目群知识库，每季度整理和更新项目群的经验和教训。</t>
  </si>
  <si>
    <t>建立项目群知识库</t>
  </si>
  <si>
    <t>每季度整理和更新项目群的经验和教训</t>
  </si>
  <si>
    <t>KPA 2： 设立经验分享平台，每月鼓励项目群内团队成员互相学习和交流。</t>
  </si>
  <si>
    <t>建立经验分项平台</t>
  </si>
  <si>
    <t>每月对分享前三名进行KPI考核加分</t>
  </si>
  <si>
    <t>KPA 3： 使用协作工具，每半年评估知识共享的效果，进行优化和改进。</t>
  </si>
  <si>
    <t>对知识库、经验分享平台提出优化和改进建议</t>
  </si>
  <si>
    <t>每半年对知识库、经验分享平台中信息进行评估，提出分享的优化改进建议。</t>
  </si>
  <si>
    <t>目标： 使项目群管理更具灵活性，能够适应变化的需求。</t>
  </si>
  <si>
    <t>KPA 1： 采用敏捷和迭代的项目群管理方法，每季度评估灵活度，进行调整。</t>
  </si>
  <si>
    <t>KPA 2： 设立变更管理流程，每月追踪和审批变更，确保项目群目标的稳定性。</t>
  </si>
  <si>
    <t>设立变更管理流程</t>
  </si>
  <si>
    <t>按流程每月追踪和审批变更</t>
  </si>
  <si>
    <t>2025年能力建设目标--商务能力建设</t>
  </si>
  <si>
    <t>目标： 制定明确的商务发展战略，与整体企业战略相一致。</t>
  </si>
  <si>
    <t>KPA 1： 在季度初召开商务战略制定工作坊，明确战略目标和关键执行计划。</t>
  </si>
  <si>
    <t>制订战略目标及关键执行计划。</t>
  </si>
  <si>
    <t>1-3月：完成战略目标和关键执行计划的制订。</t>
  </si>
  <si>
    <t>KPA 2： 设立跟踪机制，每月召开战略执行进展会议，确保计划按时执行。</t>
  </si>
  <si>
    <t>确保按月跟进关键计划执行情况。</t>
  </si>
  <si>
    <t>每月召开会议，跟进关键计划执行进度。</t>
  </si>
  <si>
    <t>KPA 3： 收集行业动态和市场信息，每半年对战略计划进行调整。</t>
  </si>
  <si>
    <t>根据行业动态和市场信息，更新战略计划。</t>
  </si>
  <si>
    <t>4-6月：完成战略计划的第一次调整；
7-12月：完成战略计划的第二次调整。</t>
  </si>
  <si>
    <t>目标： 设计适应业务需要的组织结构。</t>
  </si>
  <si>
    <t>KPA 1： 进行组织架构评估，每年对组织结构进行一次调整以适应市场需求。</t>
  </si>
  <si>
    <t>根据市场需求，完成部门内部组织架构的调整。</t>
  </si>
  <si>
    <t>6-7月：根据市场需求进行评估后，完成部门内部组织机构的调整。</t>
  </si>
  <si>
    <t>KPA 2： 制定组织职责清单，每季度召开部门协调会议，明确协作关系。</t>
  </si>
  <si>
    <t>完成组织职责清单的制订，并按季度召开会议，明确组织协作关系。</t>
  </si>
  <si>
    <t>1-3月：根据组织职责清单，召开第一次部门协调会议，明确组织协作关系。
4-6月：根据组织职责清单，召开第二次部门协调会议，明确组织协作关系。
7-9月：根据组织职责清单，召开第三次部门协调会议，明确组织协作关系。
10-12月：根据组织职责清单，召开第四次部门协调会议，明确组织协作关系。</t>
  </si>
  <si>
    <t>KPA 3： 实施透明决策流程，每月进行一次决策效果评估。</t>
  </si>
  <si>
    <t>按月评估透明决策流程的实施效果。</t>
  </si>
  <si>
    <t>每月月底对透明决策流程实施后的效果进行评估、总结。</t>
  </si>
  <si>
    <t>目标： 提高关键商务流程效率，确保高质量服务。</t>
  </si>
  <si>
    <t>KPA 1： 成立流程改进小组，每季度分析一项关键流程并提出改进建议。</t>
  </si>
  <si>
    <t>完成流程改进小组的成立，按季度对部门商务流程进行评估并提出改进建议，确保流程合法合规、化繁为简。</t>
  </si>
  <si>
    <t>1-3月：成立流程改进小组，对部门内至少一项关键流程进行讨论，提出改进建议，并进行优化。
4-6月：对部门内至少一项关键流程进行讨论，提出改进建议，并进行优化。
7-9月：对部门内至少一项关键流程进行讨论，提出改进建议，并进行优化。
10-12月：对部门内至少一项关键流程进行讨论，提出改进建议，并进行优化。</t>
  </si>
  <si>
    <t>KPA 2： 引入自动化流程工具，每半年更新一次，确保工具始终高效。</t>
  </si>
  <si>
    <t>根据业务实际情况，全年至少引入2款自动化流程工具，确保工具始终高效。</t>
  </si>
  <si>
    <t>1-6月：评估部门业务实际情况，引入一款自动化流程工具。
7-12月：评估部门业务实际情况，引入一款自动化流程工具。</t>
  </si>
  <si>
    <t>KPA 3： 设立流程效果评估机制，每月对关键流程进行效果评估。</t>
  </si>
  <si>
    <t>设立部门内部流程效果评估机制。组织部门流程改进小组，按月召开会议对部门关键流程进行效果评估，并形成总结报告。</t>
  </si>
  <si>
    <t>每月月底根据流程效果评估机制，对部门关键流程进行效果评估、总结。</t>
  </si>
  <si>
    <t>目标： 确保团队具备业务发展所需的专业素养。</t>
  </si>
  <si>
    <t>KPA 1： 制定招聘计划，确保每季度完成所需人才的招聘。</t>
  </si>
  <si>
    <t>制订部门商务人员招聘计划，根据需求按季度进行人才招聘。</t>
  </si>
  <si>
    <t>1-3月：每月月底对透明决策流程实施后的效果进行评估、总结。
4-6月：每月月底对透明决策流程实施后的效果进行评估、总结。
7-9月：每月月底对透明决策流程实施后的效果进行评估、总结。
（根据公司招聘时间，第4季度无招聘计划）</t>
  </si>
  <si>
    <t>KPA 2： 开展每月一次内部培训，提升员工商务能力。</t>
  </si>
  <si>
    <t>确保部门各业务小组至少配1名商务人员，按月对其进行内部培训。</t>
  </si>
  <si>
    <t>每月月底组织各业务小组商务人员召开培训会议，提升员工整体商务能力。</t>
  </si>
  <si>
    <t>KPA 3： 设立绩效考核机制，每季度进行一次评估并调整激励机制。</t>
  </si>
  <si>
    <t>制订商务绩效考核表，按季度进行评估并更新。</t>
  </si>
  <si>
    <t>1-3月：评估部门商务人员绩效考核表，调整激奖惩机制。
4-6月：评估部门商务人员绩效考核表，调整激奖惩机制。
7-9月：评估部门商务人员绩效考核表，调整激奖惩机制。
10-12月：评估部门商务人员绩效考核表，调整激奖惩机制。</t>
  </si>
  <si>
    <t>目标： 提升客户满意度，确保客户关系的持续健康发展。</t>
  </si>
  <si>
    <t>KPA 1： 实施客户关系管理（CRM）系统，每月更新客户信息，确保及时沟通。</t>
  </si>
  <si>
    <t>实施CRM系统，按月更新客户信息。</t>
  </si>
  <si>
    <t>按月对CRM系统内的客户信息进行更新，确保沟通及时高效。</t>
  </si>
  <si>
    <t>KPA 2： 设定客户服务标准，每周进行一次客户服务团队例会，分享成功案例。</t>
  </si>
  <si>
    <t>完成客户服务标准的制订，按周组织各业务小组商务人员召开成功案例分享会。</t>
  </si>
  <si>
    <t>每周五下午组织各业务小组商务人员召开客户服务团队例会，分析本周成功案例。</t>
  </si>
  <si>
    <t>KPA 3： 定期进行客户满意度调查，每季度召开客户反馈会议，提升服务水平。</t>
  </si>
  <si>
    <t>建立客户回访机制，跟进客户反馈，不断提升服务水平。</t>
  </si>
  <si>
    <t>1-3月：建立客户回访机制，召开客户反馈会议，根据反馈意见不断优化，提升服务水平。
4-6月：召开客户反馈会议，根据反馈意见不断优化，提升服务水平。
7-9月：召开客户反馈会议，根据反馈意见不断优化，提升服务水平。
10-12月：召开客户反馈会议，根据反馈意见不断优化，提升服务水平。</t>
  </si>
  <si>
    <t>目标： 提高品牌知名度，拓展市场份额。</t>
  </si>
  <si>
    <t>KPA 1： 制定市场营销策略，每月召开市场推广工作组会议，调整策略。</t>
  </si>
  <si>
    <t>完成部门市场营销策略的制订，每月组织商务人员召开会议，根据实施情况不断调整、优化策略。</t>
  </si>
  <si>
    <t>按月组织商务人员召开市场推广工作会议，对部门市场营销策略进行调整优化。</t>
  </si>
  <si>
    <t>KPA 2： 每季度进行一次竞品分析，发现潜在市场机会。</t>
  </si>
  <si>
    <t>组织商务人员对部门自研软件进行竞品分析，并向外部市场进行推广。</t>
  </si>
  <si>
    <t>1-3月：组织一次竞品分析会，挑选部门自研拳头产品，并向外部市场（BOT路段等）进行推广。
4-6月：组织一次竞品分析会，挑选部门自研拳头产品，并向外部市场（BOT路段等）进行推广。
7-9月：组织一次竞品分析会，挑选部门自研拳头产品，并向外部市场（BOT路段等）进行推广。
10-12月：组织一次竞品分析会，挑选部门自研拳头产品，并向外部市场（BOT路段等）进行推广。</t>
  </si>
  <si>
    <t>KPA 3： 每月评估广告、宣传和促销计划，及时调整投放策略。</t>
  </si>
  <si>
    <t>调研市场需求，按月完成产品宣传计划的制订，并进行外部投放。</t>
  </si>
  <si>
    <t>每月底对部门自研产品进行宣传计划评估与制订，并在下一个月进行外部市场投放。</t>
  </si>
  <si>
    <t>目标： 发展稳定的供应商和合作伙伴关系，共同推动业务发展。</t>
  </si>
  <si>
    <t>KPA 1： 定期评估合作伙伴绩效，每季度确定战略合作伙伴。</t>
  </si>
  <si>
    <t>制订合作伙伴绩效考核表，每季度进行评估，确定战略合作对象。</t>
  </si>
  <si>
    <t>1-3月：完成合作伙伴绩效考核表的制订，并进行评估、打分，确定优质战略合作伙伴。
4-6月：对部门合作伙伴进行评估、打分，确定优质战略合作伙伴。
7-9月：对部门合作伙伴进行评估、打分，确定优质战略合作伙伴。
10-12月：对部门合作伙伴进行评估、打分，确定优质战略合作伙伴。</t>
  </si>
  <si>
    <t>KPA 2： 每半年召开业务合作伙伴会议，深入了解业务需求。</t>
  </si>
  <si>
    <t>一年完成召开至少2次合作伙伴会议的计划</t>
  </si>
  <si>
    <t>1-6月：召开年度第一次业务合作伙伴会议，深入了解业务需求。
7-12月：召开年度第二次业务合作伙伴会议，深入了解业务需求。</t>
  </si>
  <si>
    <t>KPA 3： 设立合作伙伴评估机制，每月对合作关系进行跟踪评估。</t>
  </si>
  <si>
    <t>完成合作伙伴评估机制的建立，并按月进行跟踪评估。</t>
  </si>
  <si>
    <t>按月召开商务人员会议，对部门业务合作伙伴进行回访，并跟踪评估。</t>
  </si>
  <si>
    <t>目标： 提高商务工作效率，确保信息安全。</t>
  </si>
  <si>
    <t>KPA 1： 引入最新商务技术，每季度进行一次技术培训。</t>
  </si>
  <si>
    <t>积极对标外部企业商务管理技术，按季度进行内部培训。</t>
  </si>
  <si>
    <t>1-3月：召开商务技术培训会议，不断优化调整商务技术。
4-6月：召开商务技术培训会议，不断优化调整商务技术。
7-9月：召开商务技术培训会议，不断优化调整商务技术。
10-12月：召开商务技术培训会议，不断优化调整商务技术。</t>
  </si>
  <si>
    <t>KPA 2： 每月进行信息安全教育，确保团队对安全的认知。</t>
  </si>
  <si>
    <t>按月召开部门信息安全教育会议，确保商务流程合法合规。</t>
  </si>
  <si>
    <t>每月月底组织部门信息安全教育，确保部门各项商务流程合法合规。</t>
  </si>
  <si>
    <t>KPA 3： 定期更新商务系统和工具，确保技术始终保持领先水平。</t>
  </si>
  <si>
    <t>完成一年2次的商务系统和工具更新</t>
  </si>
  <si>
    <t>对标外部企业商务系统和工具流程，确保部门商务技术保持领先水平。</t>
  </si>
  <si>
    <t>目标： 降低商务风险，确保业务稳定运行。</t>
  </si>
  <si>
    <t>KPA 1： 定期进行商务风险评估，每季度制定风险缓解计划。</t>
  </si>
  <si>
    <t>完成一年4次的商务风险评估，并制订相应的风险缓解计划方案。</t>
  </si>
  <si>
    <t>1-3月：评估部门内部商务风险，制订切实有效的缓解措施方案。
4-6月：评估部门内部商务风险，制订切实有效的缓解措施方案。
7-9月：评估部门内部商务风险，制订切实有效的缓解措施方案。
10-12月：评估部门内部商务风险，制订切实有效的缓解措施方案。</t>
  </si>
  <si>
    <t>KPA 2： 制定详细的风险管理计划，确保团队对应急事件有应对能力。</t>
  </si>
  <si>
    <t>根据可能存在的应急事件，制订部门商务风险管理计划。</t>
  </si>
  <si>
    <t>1-6月：制订风险管理计划，并进行宣贯。
7-12月：根据业务实际情况，对计划进行优化调整。</t>
  </si>
  <si>
    <t>KPA 3： 建立危机管理团队，每季度进行一次应急演练，提高团队危机应对能力。</t>
  </si>
  <si>
    <t>设立部门危机管理团队，并按季度进行一次应急演练。</t>
  </si>
  <si>
    <t>1-3月：完成部门危机管理团建的建立，并进行第一次应急演练。
4-6月：进行第二次应急演练。
7-9月：进行第三次应急演练。
10-12月：进行第四次应急演练。</t>
  </si>
  <si>
    <t>目标： 确保业务目标的实现，持续改进业务绩效。</t>
  </si>
  <si>
    <t>KPA 1： 设定关键绩效指标（KPIs），每月进行一次业务绩效评估。</t>
  </si>
  <si>
    <t>完成商务KPIs的建立，按月根据，并进行绩效评分。</t>
  </si>
  <si>
    <t>根据商务KPIs表的内容，每月底召开会议进行跟进，并对结果进行绩效评分。</t>
  </si>
  <si>
    <t>KPA 2： 每季度进行业务表现评估，及时调整战略和计划。</t>
  </si>
  <si>
    <t>根据业务开展进度，一年完成至少4次的战略和计划的调整。</t>
  </si>
  <si>
    <t>1-3月：根据第一季度业务进度情况，调整战略的计划。
4-6月：根据第二季度业务进度情况，调整战略的计划。
7-9月：根据第三季度业务进度情况，调整战略的计划。
10-12月：根据第四季度业务进度情况，调整战略的计划。</t>
  </si>
  <si>
    <t>KPA 3： 制定奖惯机制，每半年对团队进行绩效激励，激发积极性。</t>
  </si>
  <si>
    <t>制订部门商务人员奖惩机制，每半年对团队进行绩效激励。</t>
  </si>
  <si>
    <t>6月：根据奖惩机制，组织召开上半年度绩效评比会议，对评分高的人员进行激励。
12月：根据奖惩机制，组织召开下半年度绩效评比会议，对评分高的人员进行激励。</t>
  </si>
  <si>
    <t>2025年能力建设目标--质量管控能力建设</t>
  </si>
  <si>
    <t>目的：优化测试工作流程，提高测试效率和覆盖范围，确保项目交付的质量。</t>
  </si>
  <si>
    <t>具体措施：</t>
  </si>
  <si>
    <t>KPA1: 每季度评估项目的自动化测试适用性，制定自动化测试计划，并定期检查执行结果。</t>
  </si>
  <si>
    <t xml:space="preserve"> 每季度评估项目的自动化测试适用性，制定计划并检查执行结果</t>
  </si>
  <si>
    <t>1-6月: 进行大运营、招采平台自动化测试适用性评估。
7-8月: 分析评估结果，提出改进建议。
11-12月: 定期检查执行结果，优化评估流程。</t>
  </si>
  <si>
    <t>KPA2 定期评估项目中自动化测试的适用性，根据项目需求制定相应的自动化测试计划。</t>
  </si>
  <si>
    <t>定期评估项目中自动化测试的适用性，根据需求制定相应计划。</t>
  </si>
  <si>
    <t>1-2月：结合云站需求，评估自动化适用情况。
4-5月: 结合一体化需求，评估自动化适用情况。
6-8月: 进行评估，调整计划。
9-10月: 提交适用性评估报告，根据反馈调整计划。
11-12月: 持续定期评估，确保计划执行。</t>
  </si>
  <si>
    <t>KPA3: 确保团队成员熟练使用自动化测试工具，并定期检查自动化测试的执行结果，及时调整和优化自动化测试脚本。</t>
  </si>
  <si>
    <t>确保团队成员熟练使用自动化测试工具，定期检查执行结果并优化脚本。</t>
  </si>
  <si>
    <t>1-2月: 单独对测试人员培训，确保团队熟悉工具。
3-4月: 检查团队成员熟练度，提供额外培训。
7-8月: 定期检查自动化测试执行结果，优化脚本。
11-12月: 提交熟练度和脚本优化报告，提出下一步计划。</t>
  </si>
  <si>
    <t>目的：建立稳定的测试环境，确保测试数据的完整性和有效性。</t>
  </si>
  <si>
    <t>KPA1: 确保测试环境的稳定性，包括软硬件环境的维护和升级。</t>
  </si>
  <si>
    <t>确保测试环境的稳定性，包括软硬件环境的维护和升级。</t>
  </si>
  <si>
    <t>1-2月: 分析当前测试环境，识别潜在稳定性问题。
3-4月: 制定环境维护计划，执行软硬件环境升级。
7-8月: 检查环境稳定性，解决已知问题。
11-12月: 提交年度环境稳定性报告，提出下一步维护计划。</t>
  </si>
  <si>
    <t>KPA2: 每季度评估测试数据的完整性和有效性，及时进行数据的更新和维护，以保障测试的真实性和全面性。</t>
  </si>
  <si>
    <t>每季度评估测试数据的完整性和有效性，及时进行更新和维护。</t>
  </si>
  <si>
    <t>4-5月: 设定季度评估计划，明确数据评估标准。
6-8月: 进行第一次测试数据评估，更新数据。
9-10月: 提交评估报告，调整数据维护计划。
11-12月: 持续评估，确保测试数据的真实性和全面性。</t>
  </si>
  <si>
    <t>目的：进行测试用例设计评审，优化测试用例执行计划，提高测试覆盖率。</t>
  </si>
  <si>
    <t>KPA1: 每季度进行测试用例设计评审，确保测试用例的全面性和有效性。</t>
  </si>
  <si>
    <t>提升测试用例设计质量，确保测试全面有效。</t>
  </si>
  <si>
    <t>1-2月: 制定季度测试用例设计评审计划。
3-4月: 进行第一次测试用例设计评审，修订测试用例。
7-8月: 进行第二次测试用例设计评审，优化测试用例。
11-12月: 提交年度评审报告，总结经验，提出改进建议。</t>
  </si>
  <si>
    <t>周期性任务</t>
  </si>
  <si>
    <t>KPA2: 优化测试用例执行计划，根据项目特点和风险，提高测试覆盖率，确保项目的主要功能和关键路径得到充分的测试。</t>
  </si>
  <si>
    <t>提高测试覆盖率，确保项目关键路径充分测试。</t>
  </si>
  <si>
    <t>4-5月: 分析项目特点和风险，制定测试用例执行计划。
6-8月: 实施优化计划，执行测试用例，监控测试覆盖率。
9-10月: 调整计划，确保主要功能和关键路径测试完备。
11-12月: 提交年度测试用例执行计划报告，总结经验，提出改进建议。</t>
  </si>
  <si>
    <t>目的：建立缺陷管理流程，进行缺陷分析，提出改进建议。</t>
  </si>
  <si>
    <t>KPA1: 建立完善的缺陷管理流程，确保团队成员能够及时、准确地记录和跟踪缺陷。</t>
  </si>
  <si>
    <t>建立健全的缺陷管理流程，提高缺陷跟踪效率。</t>
  </si>
  <si>
    <t>已经实施；
9-10月: 评估流程实施效果，根据反馈进行调整和优化。
11-12月: 提交年度缺陷管理流程报告，总结经验，提出改进建议。</t>
  </si>
  <si>
    <t>KPA2： 每季度进行缺陷分析，总结出现缺陷的规律和原因，提出改进建议，以降低缺陷的发生率。</t>
  </si>
  <si>
    <t>降低缺陷发生率，提高软件质量。</t>
  </si>
  <si>
    <t>4-5月: 设计季度缺陷分析计划。
6-8月: 进行第一次缺陷分析，总结规律和原因。
9-10月: 提出改进建议，进行培训和沟通。
11-12月: 提交年度缺陷分析报告，总结经验，提出改进建议。</t>
  </si>
  <si>
    <t>目的：进行性能测试和安全测试，确保系统在高负载和潜在攻击下的稳定性。</t>
  </si>
  <si>
    <t>KPA1: 每年至少进行一次性能测试，评估系统在高负载情况下的性能表现。</t>
  </si>
  <si>
    <t>评估系统在高负载情况下的性能，确保系统表现稳定。</t>
  </si>
  <si>
    <t>1-2月: 制定物联网平台性能测试计划。
3-4月: 准备测试环境和测试数据。
5-6月: 进行性能测试并收集性能数据。
7-8月: 分析性能数据，提出改进建议。
9-10月: 实施性能优化措施。
11-12月: 提交年度性能测试报告，总结经验和优化效果。</t>
  </si>
  <si>
    <t>KPA2: 进行一次安全测试，发现系统中的潜在漏洞和安全风险，确保系统在各种条件下的稳定性和安全性。</t>
  </si>
  <si>
    <t>发现系统中的潜在漏洞和安全风险，提高系统的安全性。</t>
  </si>
  <si>
    <t>4-5月: 制定年度安全测试计划。
6-8月: 进行安全测试，发现潜在漏洞。
9-10月: 实施安全性改进措施。
11-12月: 提交年度安全测试报告，总结经验和安全性改进效果。</t>
  </si>
  <si>
    <t>1-2月: 制定季度评估计划，明确评估标准。
3-4月: 进行第一次自动化测试适用性评估。
7-8月: 分析评估结果，提出改进建议。
11-12月: 定期检查执行结果，优化评估流程。</t>
  </si>
  <si>
    <t>4-5月: 制定定期评估计划，结合项目需求。
6-8月: 进行第一次定期评估，调整计划。
9-10月: 提交适用性评估报告，根据反馈调整计划。
11-12月: 持续定期评估，确保计划执行。</t>
  </si>
  <si>
    <t>1-2月: 制定培训计划，确保团队熟悉工具。
3-4月: 检查团队成员熟练度，提供额外培训。
7-8月: 定期检查自动化测试执行结果，优化脚本。
11-12月: 提交熟练度和脚本优化报告，提出下一步计划。</t>
  </si>
  <si>
    <t>1-2月: 制定年度性能测试计划。
3-4月: 准备测试环境和测试数据。
5-6月: 进行性能测试并收集性能数据。
7-8月: 分析性能数据，提出改进建议。
9-10月: 实施性能优化措施。
11-12月: 提交年度性能测试报告，总结经验和优化效果。</t>
  </si>
  <si>
    <t>2025年能力建设目标--人员组织能力建设</t>
  </si>
  <si>
    <t>JSB-842人员组织能力建设</t>
  </si>
  <si>
    <t>黄勇</t>
  </si>
  <si>
    <t>1、目标： 制定详细的招聘计划，确保吸引并培养具备所需技能和经验的人才。</t>
  </si>
  <si>
    <t>完成技术服务劳务单价框架第二家单位合同签订</t>
  </si>
  <si>
    <t>1-3月：完成第二家劳务外包单位招采</t>
  </si>
  <si>
    <t>完成3个项目经理的培养
完成云站项目负责人助理的培养
完成校招人员岗位安排
完成劳务外包人员分流安排</t>
  </si>
  <si>
    <t>1-3月：选拔出云站项目负责人助理，配合项目经理完成日常事务管理工作
1-3月：完成校招人员及劳务外包人员岗位及分流安排
1-4月：完成3个项目负责人的选拔明确</t>
  </si>
  <si>
    <t>黄勇、刘菊华</t>
  </si>
  <si>
    <t>不适用</t>
  </si>
  <si>
    <t>1、目标： 优化组织结构，确保适应数字信息事业部的战略目标。</t>
  </si>
  <si>
    <t>每半年评估组织结构效果，根据业务需要调整。</t>
  </si>
  <si>
    <t>1-6月：
1、问卷发布与数据收集（1-2月）
发布问卷，收集员工反馈，关注流动率、离职原因、绩效等数据。
2、数据分析与方案制定（3月）
分析数据，识别问题，提出初步调整方案。
3、方案优化与调查（4月）
访谈关键人员，收集更多反馈，优化调整方案。
4、方案实施与评估（5-6月）
提出正式调整方案，试行并评估，调整优化，确保效果。
7-12月：
1、问卷发布与数据收集（7-8月）
发布问卷，收集员工反馈，关注流动率、离职原因、绩效等数据。
2、数据分析与方案制定（9月）
分析数据，识别问题，提出初步调整方案。
3、方案优化与调查（10月）
访谈关键人员，收集更多反馈，优化调整方案。
4、方案实施与评估（11-12月）
提出正式调整方案，试行并评估，调整优化，确保效果。</t>
  </si>
  <si>
    <t>建立组织调整沟通机制</t>
  </si>
  <si>
    <t>1-3月： 制定沟通计划，设计员工反馈问卷。
4-5月： 发布员工问卷，完成数据收集和初步分析。
6-8月： 通过会议、邮件等向团队传达调整信息，解答疑虑，定期更新调整进展。
9-10月： 进行深入调查，根据反馈调整沟通策略，确保员工理解。
11-12月： 评估员工理解程度，提出改进建议，确保沟通透明度达到预期。</t>
  </si>
  <si>
    <t>1、目标： 提升团队凝聚力和协作效率。</t>
  </si>
  <si>
    <t>2、措施</t>
  </si>
  <si>
    <t>每季度组织团队建设，加强协作</t>
  </si>
  <si>
    <t>1-3月：制定全年计划。
4-6月：执行第一季度活动，调整计划。
7-9月：规划并执行第二季度活动。
10-12月：总结经验，评估团队协作。</t>
  </si>
  <si>
    <t>制定内部沟通规范，每月培训</t>
  </si>
  <si>
    <t>1-3月：制定规范，设计第一次培训。
4-6月：发布规范，进行第一次培训。
7-9月：进行第二次培训，定期审查规范。
10-12月：进行最后一次培训，评估规范实施</t>
  </si>
  <si>
    <t>建立团队分享平台，每季度鼓励分享</t>
  </si>
  <si>
    <t>已完成，建立了分享平台，纳入了KPI考核内容</t>
  </si>
  <si>
    <t>1、目标： 提升团队整体技能水平，确保满足项目需求。</t>
  </si>
  <si>
    <t>已建立培训机制，每月由各主管做一次专业培训</t>
  </si>
  <si>
    <t>已建立培训知识库和更新机制</t>
  </si>
  <si>
    <t>建立培训效果评估机制，持续调整培训计划</t>
  </si>
  <si>
    <t>1-3月：明确评估指标和调查问卷，培训计划准备就绪。
4-6月：收集第一季度培训反馈，分析效果，提出改进建议。
7-9月：实施调整后的培训计划，继续收集第二季度反馈。
10-12月：综合年度培训效果，总结各季度评估，形成终期调整建议</t>
  </si>
  <si>
    <t>1、目标： 设立明确的绩效评估标准，提供有针对性的激励措施。</t>
  </si>
  <si>
    <t>实现每月绩效评估的全覆盖，确保100%员工得到及时而详尽的反馈。</t>
  </si>
  <si>
    <t>已完成，每月有一次绩效考核</t>
  </si>
  <si>
    <t>1、在公司年度绩效表中制订专项奖励
2、月度绩效与年度绩效挂钩</t>
  </si>
  <si>
    <t>每半年组织员工反馈会议，调整激励机制。</t>
  </si>
  <si>
    <t>1-6月： 筹备并执行第一次员工反馈会议，宣贯绩效考核计算公式，收集建议。
7-12月： 分析反馈，调整激励机制，通报改进方案</t>
  </si>
  <si>
    <t>1、目标： 建立有效的知识分享平台，促进团队学习和创新。</t>
  </si>
  <si>
    <t>阶段性成果</t>
  </si>
  <si>
    <t xml:space="preserve"> 每年举办12场高质量知识分享会议，促进团队内部经验和技术交流</t>
  </si>
  <si>
    <t>1-6月： 策划并成功举办6场知识分享会，鼓励成员参与分享。
7-12月： 继续举办6场知识分享会，提高参与度，记录分享成果。</t>
  </si>
  <si>
    <t xml:space="preserve"> 将知识分享的贡献纳入绩效评估，激发团队学习和创新积极性。</t>
  </si>
  <si>
    <t>已经纳入绩效考核指标</t>
  </si>
  <si>
    <t>建立完善的在线知识库，每季度更新一次，确保团队始终拥有最新的资源。</t>
  </si>
  <si>
    <t>已经建立知识库，并由各主管开展每月培训</t>
  </si>
  <si>
    <t>2025年能力建设目标--安全可控建设</t>
  </si>
  <si>
    <t>目标： 建立全员信息安全意识，确保策略一致性。</t>
  </si>
  <si>
    <t>可执行措施：</t>
  </si>
  <si>
    <t>KPA1:持续完善整理信息安全策略文件，并通过内部平台发布。</t>
  </si>
  <si>
    <t>目标： 确保安全性贯穿整个软件开发生命周期。</t>
  </si>
  <si>
    <t>KPA1:在SDLC中引入安全检查节点，确保每个阶段均考虑安全性。</t>
  </si>
  <si>
    <t>1-2月: 调研SDL 安全 厂商，确定静态扫描引入阶段，以及产品的优劣性。
3-4月: 推动立项，进行招采前的准备。
5-6月: 进行厂商的深度试用，发现sdlc过程中的不足，建立适合落地的SDL安全流程。
7-8月: 完善安全检查节点流程，解决发现的问题。
9-10月: 实施季度性安全检查节点，确保各项目遵循标准。
11-12月: 汇总年度安全检查报告，提炼改进建议。</t>
  </si>
  <si>
    <t>王明亮，李云志</t>
  </si>
  <si>
    <t>目标： 保障与供应商的合作安全可靠。</t>
  </si>
  <si>
    <t>KPA1:制定供应商评估标准，由专业团队进行评估，在合作合同中明确安全性要求。</t>
  </si>
  <si>
    <t>制定详细的供应商评估标准，由专业团队进行评估，以确保与高质量和安全性的供应商合作。</t>
  </si>
  <si>
    <t>1-6月: 调研确定供应商评估的关键指标，流程，建立技术方案。
7-8月: 建立供应商评估的合同基础，与法律团队进行沟通，获得法律依据。
9-10月: 与内部团队沟通，建立可落地的供应商安全流程与制度。
11-12月: 挑选供应商试运行，根据实际效果进行调整。</t>
  </si>
  <si>
    <t>王明亮，彭文峰，商务经理</t>
  </si>
  <si>
    <t>目标： 保障服务器和网络设备的安全性。</t>
  </si>
  <si>
    <t>KPA1:设定每月漏洞扫描计划，建立及时修复机制。</t>
  </si>
  <si>
    <t>设定每月漏洞扫描计划，建立及时修复机制，降低系统漏洞风险。</t>
  </si>
  <si>
    <t>1月-4月：完成协作工具的试用（含sdlc的漏扫）
5-12月: 持续每月漏洞扫描和修复，确保系统安全性。
11-12月: 总结年度漏洞扫描成果，提出下一年度改进计划。</t>
  </si>
  <si>
    <t>目标： 确保系统和软件始终在安全的状态下运行。</t>
  </si>
  <si>
    <t>KPA1:设立定期漏洞修复计划，保障系统和软件保持最新版本。</t>
  </si>
  <si>
    <t>设立定期漏洞修复计划，由专业团队执行，以及时发现并解决系统中的潜在漏洞。</t>
  </si>
  <si>
    <t>李云志,方浩,研发责任人</t>
  </si>
  <si>
    <t>目标： 保护敏感数据，提升系统的数据安全性。</t>
  </si>
  <si>
    <t>KPA1:实施端到端数据加密方案，使用专业加密工具。</t>
  </si>
  <si>
    <t>实施端到端数据加密方案，使用专业加密工具，保障数据传输和存储的安全性。</t>
  </si>
  <si>
    <t>1-6月：采购或试用，实施端到端加密方案。
7-9月: 验证数据传输加密效果，解决可能出现的问题。
10-12月: 持续监控数据加密效果，进行必要的调整和优化。</t>
  </si>
  <si>
    <t>KPA2:提升应用系统中个敏感数据处理保护能力，对项目进行合规检查。</t>
  </si>
  <si>
    <t>建立敏感数据处理的安全需求，提升系统的数据安全能力。</t>
  </si>
  <si>
    <t>1-3月: 调研系统中存在的敏感数据存储、展示，输出需求目标与可落地方案。
4-10月：发布敏感数据处理的安全方案
11-12月:持续修改运行过程中不适配的地方。</t>
  </si>
  <si>
    <t>目标： 提高员工信息安全责任意识。</t>
  </si>
  <si>
    <t>KPA1:针对研发制定信息安全培训课程，由内外部专业讲师授课。</t>
  </si>
  <si>
    <t>制定信息安全培训课程，由内外部专业讲师授课，提升研发代码的安全性。</t>
  </si>
  <si>
    <t>1-2月: 确定培训课程的大纲和目标，选定外部专业讲师。
3-12月每月进行一次培训，培训范围包括：
1)ci/cd流程中安全检查工具的使用。
2）xss，sql注入等常见漏洞的规避与修复方法。
3）数据安全需求传递。
4）安全日志采集需求传递。</t>
  </si>
  <si>
    <t>目标： 确保团队在安全事件时迅速应对，业务不受影响。</t>
  </si>
  <si>
    <t>制定详细的应急响应计划，包括流程和通讯预案，以提高团队对突发事件的应对能力。</t>
  </si>
  <si>
    <t>1-4月: 梳理勒索，数据窃取，病毒落盘，外联，命令执行等方向上的应急响应计划，形成初步方案，明确责任人。
5-6月: 完善应急通讯预案，确保信息传递的及时性。
7-8月: 内部培训团队成员，演练应急响应流程。
9-10月: 与相关部门进行沟通，获取反馈和建议。
11-12月: 最终版本的应急响应计划发布，全员培训。</t>
  </si>
  <si>
    <t>KPA2:及时响应阿里云、集团，联网通知的网络安全事件。</t>
  </si>
  <si>
    <t>基于阿里云上、集团、联网的安全设备，设定有效的实时报警机制，及时响应潜在问题。</t>
  </si>
  <si>
    <t>1-4月: 优化阿里云上的监控系统，建立安全事件的通知机制。
5-6月: 完成监控系统的部署、监控阈值、实时报警机制，并确保正常运行。
周期性进行：定期检查监控系统的报警触发情况，进行必要的调整。
11-12月: 总结年度监控系统部署效果，提出下一年度改进计划。</t>
  </si>
  <si>
    <t>王明亮，李云志，刘健</t>
  </si>
  <si>
    <t>KPA3:每季度组织一次模拟演练，根据结果不断改进计划。</t>
  </si>
  <si>
    <t>每季度组织一次模拟演练，根据结果不断改进计划，提高团队的协同应对能力。</t>
  </si>
  <si>
    <t>2025年能力建设目标--运维能力建设</t>
  </si>
  <si>
    <t>目标： 提高运维服务的效率和质量，确保系统稳定运行。</t>
  </si>
  <si>
    <t>1、实施自动化运维工具：</t>
  </si>
  <si>
    <t>引入自动化运维工具，如Ansible或Puppet，以简化重复性任务。</t>
  </si>
  <si>
    <t>1、在联网业务中引入商业的自动化工具。</t>
  </si>
  <si>
    <t>1-2月: 在联网公司评估可以将自动化操作覆盖到车道等同应用分布部署的工具。
3-4月：梳理车道日常运维中可以用自动化工具代替的场景，进行已引入自动化运维工具的使用情况评估，找寻差距。
5-6月：进行实施。
7-10月:招投标等。
11-12月: 评估全年自动化运维工具的实施效果，提出改进建议。</t>
  </si>
  <si>
    <t>彭文峰、刘健、李云志</t>
  </si>
  <si>
    <t>自动化常见的系统配置和部署流程，减少人工干预。</t>
  </si>
  <si>
    <t>2、自动化操作覆盖到车道等同应用分布部署场景，批量修改相关配置等操作场景。</t>
  </si>
  <si>
    <t>1-4月: 引入新的自动化devops工具，进行调研。
5-6月: 在集团进行试用，开始应用自动化脚本进行系统配置和部署。
7-8月: 扩大到联网公司。
9-10月: 自动化发布工具的采购工作。
11-12月: 总结全年自动化配置和部署的效果，提出下一年度改进计划。</t>
  </si>
  <si>
    <t>2、提升监控和告警系统的准确性：</t>
  </si>
  <si>
    <t>设置实时告警，确保迅速响应潜在问题。</t>
  </si>
  <si>
    <t>设置实时告警机制，确保团队能够迅速响应潜在问题，降低系统故障的影响。</t>
  </si>
  <si>
    <t>1-2月: 分析当前运维管理所有的告警模板，确定关键指标和性能阈值，完成制定实时告警策略。
每月进行一次告警梳理，分析误判、漏判的告警，补充新的规则。
3-4月：完成告警处置人与工单流程的梳理，优化告警平台的告警派发机制。
11-12月: 总结全年实时告警的效果，提出下一年度改进计划。</t>
  </si>
  <si>
    <t>彭文峰，刘健，王明亮</t>
  </si>
  <si>
    <t>3、优化系统容量规划：</t>
  </si>
  <si>
    <t>根据需求调整硬件和云资源的配置，提高系统的弹性。</t>
  </si>
  <si>
    <t>定期进行系统容量评估，确保系统能够满足业务需求，保障系统性能和稳定性。</t>
  </si>
  <si>
    <t>1-3月：梳理集团，联网服务器（虚拟机）的使用率，回收未使用虚拟机资源。
4-6月：通过信创改造项目增加信创服务器资源。
7-9月：分析集团资源虚耗情况，梳理出资源使用率较低虚拟机，协调业务团队进行动态调整。
7-12月：梳理联网中心存储、云平台计算资源的使用情况，对不足的资源进行扩容。</t>
  </si>
  <si>
    <t>4、实施持续改进：</t>
  </si>
  <si>
    <t>建立持续改进机制，收集用户反馈和运维经验。</t>
  </si>
  <si>
    <t>建立持续改进机制，通过收集用户反馈和运维经验，不断提升系统运维服务水平。</t>
  </si>
  <si>
    <t xml:space="preserve">每月收集一次业务单位（信息中心、联网中心）对运维的诉求，根据诉求在下发对应任务。
每季度对运维服务进行评估，评估在隐患提前闭环，工单完成情况，工单响应率的情况。
12月：统计收集到的任务以及完结率。
</t>
  </si>
  <si>
    <t>目标： 缩短故障排除时间，提高对故障的快速响应能力。</t>
  </si>
  <si>
    <t>1、提升故障排除团队的战斗力：</t>
  </si>
  <si>
    <t>KPA1：每月更新故障排查知识库，记录常见问题和解决方案。</t>
  </si>
  <si>
    <t>建立故障排查知识库，记录常见问题和解决方案，提高问题解决效率。</t>
  </si>
  <si>
    <t>1-2月: 培训宣贯知识库建立措施。
3-4月：在机房告警处置，联网门架处置，资产查询等方面建立知识架构。
每月检查知识库，对知识库内容的有效性进行更新。
12月：进行年底知识库检查，80%基本运维操作可以在知识库找到操作方法。</t>
  </si>
  <si>
    <t>2、实施自动化故障检测：</t>
  </si>
  <si>
    <t>KPA2：部署自动化故障检测系统，能够自动识别和报警潜在问题。</t>
  </si>
  <si>
    <t>部署自动化故障检测系统，能够自动识别和报警潜在问题，提高故障检测效率。</t>
  </si>
  <si>
    <t>1-4月: 基于现有的运维平台或其他工具，定制巡检脚本,在集团实现自动化故障巡检与开关机自动化操作。
5-6月: 进行系统部署，确保各项功能正常运行。
7-8月: 观测自动化工具运行情况，做出调整。
9-10月：基于联网系统的真实情况，对工具进行优化，部署到联网公司。
11-12：定制联网巡检脚本,实现自动化故障巡检</t>
  </si>
  <si>
    <t>3、实施持续监控和报告：</t>
  </si>
  <si>
    <t>KPA3:定期生成故障响应和解决的报告，用于团队内部和外部的透明度。</t>
  </si>
  <si>
    <t>提高团队的透明度，定期生成故障响应和解决的报告，优化运维流程。</t>
  </si>
  <si>
    <t>1-3月：确定故障报告格式与内容，内部达成一致。
每季度生成一份当季度的故障报告。</t>
  </si>
  <si>
    <t>目标： 确保系统能够保持高可用性，降低因系统故障而导致的业务中断。</t>
  </si>
  <si>
    <t>1、实施容错和冗余机制：</t>
  </si>
  <si>
    <t>KPA1:根据信息中心与联网中心要求，对系统进行冗余改造</t>
  </si>
  <si>
    <t>集团：按照业务系统对每个系统进行改造；
联网中心：联网中心资源增加后，按照系统清单进行逐步改造</t>
  </si>
  <si>
    <t>每月调研集团与联网中心需要建立冗余的系统。
每月对当月新建冗余的系统进行验证，保障冗余的可用性、</t>
  </si>
  <si>
    <t>KPA2:进行冗余恢复演练，验证冗余策略的可用性</t>
  </si>
  <si>
    <t>保障运营商与基础</t>
  </si>
  <si>
    <t>1-4月：对运营商链路进行冗余验证。
7-12月：对机房基础设备与虚拟机的冗余环境进行演练。</t>
  </si>
  <si>
    <t>2、建立备份和恢复策略：</t>
  </si>
  <si>
    <t>KPA1:持续保持备份策略的实时性。</t>
  </si>
  <si>
    <t>1、集团：对新增业务系统建立备份任务以及策略；
2、联网中心：定期调研确定备份服务器清单，并更新备份任务以及策略。</t>
  </si>
  <si>
    <t>每月调研集团与联网中心的需备份机器与备份策略。
每月更新备份策略，确保备份策略纳入新接入机器。</t>
  </si>
  <si>
    <t>KPA2:进行备份恢复演练，验证备份策略的可用性</t>
  </si>
  <si>
    <t>保障备份策略的可用</t>
  </si>
  <si>
    <t>每季度进行一次备份的演练，梳理备份策略的有效性</t>
  </si>
  <si>
    <t>3、提升紧急响应小组的应急能力：</t>
  </si>
  <si>
    <t>KPA1:提升紧急响应小组的应急能力，建立应急标准化体系</t>
  </si>
  <si>
    <t>完善应急方案，建立应急演练环境与季度应急演练机制，提升团队的应急能力。</t>
  </si>
  <si>
    <t>1-3月: 进行25年第一次应急演练。
4-5月：回顾演练情况，完善应急演练方案。
6月：进行25年第二次应急演练。
7-8月：回顾演练情况，完善应急演练方案，在测试区搭建应急模拟环境。
9月：进行25年第三次应急演练。
10-11月：在模拟环境进行第四次应急演练。
12月：根据模拟环境应急演练情况，进一步提升应急方案的完善度。做到90%的应急场景有文档可依。</t>
  </si>
  <si>
    <t>2025年能力建设目标--持续交付能力能力建设</t>
  </si>
  <si>
    <t>目标： 建立高效的持续交付流程，减少人工干预，提高交付速度。</t>
  </si>
  <si>
    <t>KPA1:部署现代化CI/CD工具，如Jenkins、GitLab CI、或商业版本。</t>
  </si>
  <si>
    <t>考虑引进商业软件</t>
  </si>
  <si>
    <t>KPA2:设定自动化构建流程，包括编译、打包和版本控制。</t>
  </si>
  <si>
    <t>KPA3:引入自动化测试框架，确保每次提交都有全面的测试覆盖。</t>
  </si>
  <si>
    <t>KPA4:实施CI/CD流水线，确保构建、测试和部署的无缝衔接。</t>
  </si>
  <si>
    <t>目标： 所有团队成员能熟练使用CI/CD流水线，提高工作效率。</t>
  </si>
  <si>
    <t>KPA1:提供CI/CD操作文档编程，确保团队成员掌握使用技巧。</t>
  </si>
  <si>
    <t>KPA2:制定实践案例模板，鼓励团队成员积极使用CI/CD工具。</t>
  </si>
  <si>
    <t>制定ci/cd流水线案例模板，提高团队提供参考，提高使用性。</t>
  </si>
  <si>
    <t xml:space="preserve">1-3月: 调研商业版软件,以及商业版软件的流水线模板实用性。
4-6月: 编写制定流水线模板实现标准化,前端构建发布模板,后端构建发布模板。
7-12月: 增量构建发布模板,业务健康检查自动回滚模板。
</t>
  </si>
  <si>
    <t>KPA3:设立专人负责解决团队成员在使用过程中遇到的问题。</t>
  </si>
  <si>
    <t>建立ci/cd 技术支撑团队，提供专业支持。</t>
  </si>
  <si>
    <t>设立2-3人团队对devops平台提供技术支撑和发现的问题进行解决,考虑引用devops商业版软件,提供专业的技术支撑</t>
  </si>
  <si>
    <t>目标： 实现每次提交都能通过自动化构建和部署，减少等待时间。</t>
  </si>
  <si>
    <t>KPA1:设定预发布环境构建和部署任务。</t>
  </si>
  <si>
    <t>建立预发布环境流水线</t>
  </si>
  <si>
    <t xml:space="preserve">1-3月: 预发布环境构建计划。
4-6月: 实施预发布环境构建,提交预发布测试报告。
7-9月: 检查预发布项目运行情况,是否通过预发布测试发布到生产。
</t>
  </si>
  <si>
    <t>KPA2:引入增量构建策略，减少整体构建时间。</t>
  </si>
  <si>
    <t>流水线增量构建,提高交付效率。</t>
  </si>
  <si>
    <t xml:space="preserve">1-2月: 研究增量构建策略，制定实施计划。
3-4月: 引入增量构建，观察效果并调整。
5-6月: 进一步优化策略，提高构建速度。
</t>
  </si>
  <si>
    <t>KPA3:建立灰度发布机制。</t>
  </si>
  <si>
    <t>实行灰度发布</t>
  </si>
  <si>
    <t xml:space="preserve">1-2月: 灰度发布试点运行。
3-5月: 灰度到生产实现无缝发布。
6-8月: 实施灰度发布到生产。
</t>
  </si>
  <si>
    <t>目标： 建立实时监控系统，及时发现和解决潜在问题。</t>
  </si>
  <si>
    <t>KPA1:部署健康检查监控，监测系统关键指标。</t>
  </si>
  <si>
    <t>监测系统发布后,业务访问监控集成到流水线,并且能实现自动回滚。</t>
  </si>
  <si>
    <t xml:space="preserve">1-3月: 选择并部署监控工具，设定监控指标。
4-6月: 部署发布后监控，监控业务健康状态。
7-8月: 优化监控配置，确保全面有效监控。
</t>
  </si>
  <si>
    <t>2025年能力建设目标--知识共享能力建设</t>
  </si>
  <si>
    <t>郭羚</t>
  </si>
  <si>
    <t>目标： 打造安全高效的内部知识共享平台。</t>
  </si>
  <si>
    <t>KPA形式的可执行措施：</t>
  </si>
  <si>
    <t>KPA 1： 每季度组织平台使用培训，确保团队成员能够熟练使用平台功能。</t>
  </si>
  <si>
    <t>确保团队成员能够熟练掌握平台的各种功能。通过定期培训，成员可以不断更新和提升自己的技能，确保在工作中高效、准确地利用平台资源。</t>
  </si>
  <si>
    <t>1-3月: 2024年度知识库使用情况问卷调研，进行分析。
4-6月: 知识库使用介绍培训。
7-9月：知识库实操测评。
10-12月：内部调研，总结分析2025年部门人员使用情况。</t>
  </si>
  <si>
    <t>KPA 2： 每季度举办一次知识分享活动，如知识竞赛，经验交流会等。</t>
  </si>
  <si>
    <t>促进团队成员之间的知识传递和共享</t>
  </si>
  <si>
    <t>1-3月：智建研发中心完成工程类的知识分享活动。
4-6月：智行研发中心完成联网收费相关的知识分享活动。
7-9月：智管研发中心完成集团信息化相关的知识分享活动。
10-12月：内部调研本年度知识分享会情况。</t>
  </si>
  <si>
    <t>目标： 促进团队间跨部门合作和信息流通。</t>
  </si>
  <si>
    <t>KPA 1： 每半年组织跨团队协作的培训和交流活动，增强团队间的沟通和协作能力。</t>
  </si>
  <si>
    <t>全面推广与优化</t>
  </si>
  <si>
    <t>KPA 2： 每月或每季度组织召开一次跨团队协作会议，讨论工作中的问题和挑战，共同寻找解决方案。</t>
  </si>
  <si>
    <t>深化知识共享与团队协作</t>
  </si>
  <si>
    <t>1月: 质量管控中心组织跨团队协作会议，讨论工作中的问题和挑战。
2月: 系统运维中心组织跨团队协作会议，讨论工作中的问题和挑战。
3-5月: 智管研发中心组织跨团队协作会议，讨论工作中的问题和挑战。
6-8月: 智行研发中心组织跨团队协作会议，讨论工作中的问题和挑战。
9-11月：智建研发中心组织跨团队协作会议，讨论工作中的问题和挑战。
12月：总结全年跨团队协作会议的成果。</t>
  </si>
  <si>
    <t>目标： 提高团队整体技能水平和对外部创新的感知。</t>
  </si>
  <si>
    <t>KPA 1：每季度组织内部或外部的专业培训，确保团队成员定期接受新知识、新技能的熏陶。</t>
  </si>
  <si>
    <t>全面提升团队成员的专业能力、促进个人职业发展、增强团队凝聚力、激发创新思维、适应市场变化、提升工作效率和质量。</t>
  </si>
  <si>
    <t>1-3月:智建研发中心完成工程类相关的IT技能培训。
4-6月: 智行研发中心完成联网收费相关的IT技能培训。
7-9月: 智管研发中心完成集团信息化相关的IT技能培训。
10月: 系统运维中心完成相关技能培训。
11月: 质量管控中心完成相关技能培训。
12月：总结全年技能培训成果。</t>
  </si>
  <si>
    <t>KPA 2： 每月及时更新知识库的学习内容，以满足团队成员学习。</t>
  </si>
  <si>
    <t>保持知识的前沿性和准确性，提升团队成员的专业能力。</t>
  </si>
  <si>
    <t>每月智建研发中心经理、智行研发中心经理、智管研发中心经理、系统运维中心经理、质量管控中心经理至少提交一篇学习内容至知识库。</t>
  </si>
  <si>
    <t>目标： 提升团队协作和创新能力，促进项目经验和教训的分享。</t>
  </si>
  <si>
    <t>KPA 1： 每季度负责人使用实例分享项目经验和教训，整理项目管理中的常见问题，提高项目执行效率，评估效果。</t>
  </si>
  <si>
    <t>确保知识共享活动的有效性和持续改进。</t>
  </si>
  <si>
    <t>1-3月:智建研发中心完成工程类相关的项目管理培训。
4-6月: 智行研发中心完成联网收费相关的项目管理培训。
7-9月: 智管研发中心完成集团信息化相关的项目管理培训。
10月: 系统运维中心完成运维相关的项目管理培训。
11月: 质量管控中心完成测试相关的项目管理培训。
12月：总结全年项目管理培训成果。</t>
  </si>
  <si>
    <t>KPA 2： 鼓励团队成员提出对项目经验和教训分享培训的意见和建议，每季度收集并进行分析。</t>
  </si>
  <si>
    <t>促进知识共享能力的持续优化和改进，以满足团队成员的实际需求和推动组织的不断发展。</t>
  </si>
  <si>
    <t>1-3月:智建研发中心经理提交1份与工程类相关的项目经验和教训分享培训的意见和建议。
4-6月: 智行研发中心经理提交1份与联网收费相关的项目经验和教训分享培训的意见和建议。
7-9月: 智管研发中心经理提交1份与集团信息化相关的项目经验和教训分享培训的意见和建议。。
10月: 系统运维中心经理提交1份与运维相关的项目经验和教训分享培训的意见和建议。
11月：质量管控中心经理提交1份与测试相关的项目经验和教训分享培训的意见和建议。
12月：总结全年项目经验和教训分享培训成果。</t>
  </si>
  <si>
    <t>目标： 鼓励团队成员参与技术创新和实践。</t>
  </si>
  <si>
    <t>KPA 1： 确保内部每季度提交创新提案。</t>
  </si>
  <si>
    <t>提高项目实践经验积累，形成有效总结。</t>
  </si>
  <si>
    <t>每季度技术专家和产品经理提交创新提案。</t>
  </si>
  <si>
    <t>KPA 2： 确保内部技术沙龙每半年召开一次，记录并分享新技术趋势。</t>
  </si>
  <si>
    <t xml:space="preserve"> 提高团队技术储备，关注新技术趋势。</t>
  </si>
  <si>
    <t>1月：制定全年技术沙龙计划。
2-6月：由智行研发中心和质量管控中心组织上半年技术沙龙活动。
7-11月：由智建研发中心和智管研发中心共同组织下半年技术沙龙活动。
12月：总结全年技术沙龙举办情况。</t>
  </si>
  <si>
    <t>目标： 提升团队对公司业务的全面理解。</t>
  </si>
  <si>
    <t>KPA 1： 每季度组织专业培训，加强业务学习，跟踪培训效果。</t>
  </si>
  <si>
    <t xml:space="preserve"> 确保团队成员能快速掌握最新的业务知识和技能。</t>
  </si>
  <si>
    <t>1-3月:智建研发中心完成关于工程类的业务知识培训。
4-6月: 智行研发中心完成关于联网收费的业务知识培训。
7-9月: 智管研发中心完成关于集团信息化的业务知识培训。
10月: 系统运维中心完成运维相关的业务知识培训。
11月: 质量管控中心完成测试相关的业务知识培训。
12月：总结全年业务知识培训成果。</t>
  </si>
  <si>
    <t>KPA 2： 组织团队进行规划研讨，共同制定未来一年的业务战略与重点任务。</t>
  </si>
  <si>
    <t>确保所有成员对业务战略有统一的认识，从而在工作中保持一致的行动方向。</t>
  </si>
  <si>
    <t>10-12月：智建研发中心、智行研发中心、智管研发中心、系统运维中心、质量管控中心的中心经理，根据今年的培训情况，结合工作需要，分别制定未来一年的业务战略与重点任务，形成书面文字提交。</t>
  </si>
  <si>
    <t>一、工作情况填报
（一）本月完成情况填报​
未按时填写本月完成情况，扣 10 分​
填写内容严重不完整，关键工作成果未体现，扣 7 分​
填写内容与实际工作不符，存在敷衍、虚假情况，扣 8 分​
（二）次月计划填报​
未按时填写次月计划，扣 10 分​
计划内容空洞，缺乏具体任务目标与实施步骤，扣 6 分​
计划与实际工作需求脱节，无法指导下月工作，扣 7 分​
二、成果提交
不提交成果链接（如：文档、工单、软件），扣 10 分​
提交的链接无法打开或链接内容为空，扣 8 分​
提交的链接内容与交付要求不一致，扣 8 分​
提交材料格式不符合规定（如要求 PDF 却提交 Word 文档），扣 5 分​
提交材料缺失关键附件（如报告缺少数据原始表），扣 6 分​
三、任务完成时间
（一）普通任务
若任务中有任何子任务未完成，每项扣 8 分​
任务延迟交付：​
延迟 1 - 2 天，扣 4 分​
延迟 3 - 5 天，扣 6 分​
延迟超过 5 天，扣 8 分​
（二）“一票否决制”任务，按照单独规则计算
四、交付质量类​
存在轻微质量问题（如文档格式不统一、表述不严谨等），每项扣 2 分​
存在一般质量问题（如功能部分缺失、数据少量错误等），每项扣 4 分​
存在较严重质量问题（如核心功能无法实现、数据错误影响结论等），每项扣 6 分​
交付物存在重大质量缺陷（如存在安全隐患、完全不符合需求等），每项扣 8 分​
交付质量问题经反馈后，未在规定时间内整改，扣 10 分
阶段任务有变化未及时调整--郭胜美</t>
  </si>
  <si>
    <t>计量营收</t>
  </si>
  <si>
    <t>计量毛利</t>
  </si>
  <si>
    <t>人员成本</t>
  </si>
  <si>
    <t>工程建养管</t>
  </si>
  <si>
    <t>联网收费</t>
  </si>
  <si>
    <t>运维业务线</t>
  </si>
  <si>
    <t>集团信息化</t>
  </si>
  <si>
    <t>公司分摊</t>
  </si>
  <si>
    <t>质控组及管理人员</t>
  </si>
  <si>
    <t>净利润</t>
  </si>
  <si>
    <t>陶棋盛</t>
  </si>
  <si>
    <r>
      <rPr>
        <b/>
        <sz val="11"/>
        <color rgb="FF000000"/>
        <rFont val="等线"/>
        <charset val="134"/>
      </rPr>
      <t>重点任务</t>
    </r>
    <r>
      <rPr>
        <b/>
        <sz val="11"/>
        <color rgb="FFFF0000"/>
        <rFont val="等线"/>
        <charset val="134"/>
      </rPr>
      <t xml:space="preserve">
1、重点任务当月没完成月度计划，负责人直接考核为D；当年没完成年度计划，当年考核为D</t>
    </r>
    <r>
      <rPr>
        <b/>
        <sz val="11"/>
        <color rgb="FFFF0000"/>
        <rFont val="等线"/>
        <charset val="134"/>
      </rPr>
      <t xml:space="preserve">
2、重点任务全部按时完成则任务负责人考核保底为C</t>
    </r>
  </si>
  <si>
    <r>
      <rPr>
        <sz val="11"/>
        <color rgb="FF000000"/>
        <rFont val="等线"/>
        <charset val="134"/>
      </rPr>
      <t>已完成，</t>
    </r>
    <r>
      <rPr>
        <u/>
        <sz val="11"/>
        <color rgb="FF175CEB"/>
        <rFont val="等线"/>
        <charset val="134"/>
      </rPr>
      <t xml:space="preserve">
https://www.kdocs.cn/l/cpxI3ulO7ICo</t>
    </r>
  </si>
  <si>
    <r>
      <rPr>
        <b/>
        <sz val="11"/>
        <color rgb="FFFF0000"/>
        <rFont val="等线"/>
        <charset val="134"/>
      </rPr>
      <t>1月底：</t>
    </r>
    <r>
      <rPr>
        <sz val="11"/>
        <color rgb="FF000000"/>
        <rFont val="等线"/>
        <charset val="134"/>
      </rPr>
      <t xml:space="preserve">完成集团各系统测试业务场景清单，描述场景的输入，处理，输出过程，及效果，通过信息中心评审
</t>
    </r>
    <r>
      <rPr>
        <b/>
        <sz val="11"/>
        <color rgb="FFFF0000"/>
        <rFont val="等线"/>
        <charset val="134"/>
      </rPr>
      <t>3月底：</t>
    </r>
    <r>
      <rPr>
        <sz val="11"/>
        <color rgb="FF000000"/>
        <rFont val="等线"/>
        <charset val="134"/>
      </rPr>
      <t>配合集团业务测试团队，完成场景测试，效果验证工作（系统测试问题跟踪表：</t>
    </r>
    <r>
      <rPr>
        <u/>
        <sz val="11"/>
        <color rgb="FF175CEB"/>
        <rFont val="等线"/>
        <charset val="134"/>
      </rPr>
      <t>https://www.kdocs.cn/l/cfeoqdx0gRvw；系统验收清单：https://365.kdocs.cn/l/cdT3P86sdc5T</t>
    </r>
    <r>
      <rPr>
        <sz val="11"/>
        <color rgb="FF000000"/>
        <rFont val="等线"/>
        <charset val="134"/>
      </rPr>
      <t xml:space="preserve">）
</t>
    </r>
    <r>
      <rPr>
        <b/>
        <sz val="11"/>
        <color rgb="FFFF0000"/>
        <rFont val="等线"/>
        <charset val="134"/>
      </rPr>
      <t>6月底：</t>
    </r>
    <r>
      <rPr>
        <sz val="11"/>
        <color rgb="FF000000"/>
        <rFont val="等线"/>
        <charset val="134"/>
      </rPr>
      <t>配合信息中心完成业务流程优化建议方案</t>
    </r>
  </si>
  <si>
    <r>
      <rPr>
        <sz val="11"/>
        <color rgb="FF000000"/>
        <rFont val="等线"/>
        <charset val="134"/>
      </rPr>
      <t>完成集团各系统测试业务场景清单，描述场景的输入，处理，输出过程，及效果，通过信息中心评审</t>
    </r>
    <r>
      <rPr>
        <sz val="11"/>
        <color rgb="FF000000"/>
        <rFont val="等线"/>
        <charset val="134"/>
      </rPr>
      <t xml:space="preserve">
【金山文档</t>
    </r>
    <r>
      <rPr>
        <sz val="11"/>
        <color rgb="FF000000"/>
        <rFont val="等线"/>
        <charset val="134"/>
      </rPr>
      <t xml:space="preserve"> |</t>
    </r>
    <r>
      <rPr>
        <sz val="11"/>
        <color rgb="FF000000"/>
        <rFont val="等线"/>
        <charset val="134"/>
      </rPr>
      <t xml:space="preserve"> WPS云文档】</t>
    </r>
    <r>
      <rPr>
        <sz val="11"/>
        <color rgb="FF000000"/>
        <rFont val="等线"/>
        <charset val="134"/>
      </rPr>
      <t xml:space="preserve"> 湖南高速集团信息化系统测试问题反馈</t>
    </r>
    <r>
      <rPr>
        <u/>
        <sz val="11"/>
        <color rgb="FF175CEB"/>
        <rFont val="等线"/>
        <charset val="134"/>
      </rPr>
      <t xml:space="preserve">
https://www.kdocs.cn/l/cfSk6Ag3H7UB</t>
    </r>
  </si>
  <si>
    <r>
      <rPr>
        <b/>
        <sz val="11"/>
        <color rgb="FFFF0000"/>
        <rFont val="等线"/>
        <charset val="134"/>
      </rPr>
      <t>1月底：</t>
    </r>
    <r>
      <rPr>
        <sz val="11"/>
        <color rgb="FF000000"/>
        <rFont val="等线"/>
        <charset val="134"/>
      </rPr>
      <t>将算力服务器增购需求方案上报信息中心纳入数转变更
3月底：数转算力服务已经用完，跟进服务器采购情况</t>
    </r>
  </si>
  <si>
    <r>
      <rPr>
        <b/>
        <sz val="11"/>
        <color rgb="FFFF0000"/>
        <rFont val="等线"/>
        <charset val="134"/>
      </rPr>
      <t>1月底：</t>
    </r>
    <r>
      <rPr>
        <sz val="11"/>
        <color rgb="FF000000"/>
        <rFont val="等线"/>
        <charset val="134"/>
      </rPr>
      <t xml:space="preserve">上报信息中心集团系统26年新增功能需求及预算
</t>
    </r>
    <r>
      <rPr>
        <b/>
        <sz val="11"/>
        <color rgb="FFFF0000"/>
        <rFont val="等线"/>
        <charset val="134"/>
      </rPr>
      <t>6月底：</t>
    </r>
    <r>
      <rPr>
        <sz val="11"/>
        <color rgb="FF000000"/>
        <rFont val="等线"/>
        <charset val="134"/>
      </rPr>
      <t xml:space="preserve">完成代码自主可控、我方自行打包发版、开发团队配备（有源代码的系统）
</t>
    </r>
    <r>
      <rPr>
        <b/>
        <sz val="11"/>
        <color rgb="FFFF0000"/>
        <rFont val="等线"/>
        <charset val="134"/>
      </rPr>
      <t>10月底：</t>
    </r>
    <r>
      <rPr>
        <sz val="11"/>
        <color rgb="FF000000"/>
        <rFont val="等线"/>
        <charset val="134"/>
      </rPr>
      <t>完成26年预算项目自研开发</t>
    </r>
  </si>
  <si>
    <r>
      <rPr>
        <b/>
        <sz val="11"/>
        <color rgb="FFFF0000"/>
        <rFont val="等线"/>
        <charset val="134"/>
      </rPr>
      <t>1月底：</t>
    </r>
    <r>
      <rPr>
        <sz val="11"/>
        <color rgb="FF000000"/>
        <rFont val="等线"/>
        <charset val="134"/>
      </rPr>
      <t xml:space="preserve">完成招聘需求上报
2月底：完成第一批人员需求上报
</t>
    </r>
    <r>
      <rPr>
        <b/>
        <sz val="11"/>
        <color rgb="FFFF0000"/>
        <rFont val="等线"/>
        <charset val="134"/>
      </rPr>
      <t>5月底：</t>
    </r>
    <r>
      <rPr>
        <sz val="11"/>
        <color rgb="FF000000"/>
        <rFont val="等线"/>
        <charset val="134"/>
      </rPr>
      <t>基本完成人员招聘</t>
    </r>
  </si>
  <si>
    <r>
      <rPr>
        <b/>
        <sz val="11"/>
        <color rgb="FFFF0000"/>
        <rFont val="微软雅黑"/>
        <family val="2"/>
        <charset val="134"/>
      </rPr>
      <t>4月底：</t>
    </r>
    <r>
      <rPr>
        <sz val="11"/>
        <color rgb="FF000000"/>
        <rFont val="微软雅黑"/>
        <family val="2"/>
        <charset val="134"/>
      </rPr>
      <t xml:space="preserve">完成具备能力系统对接
【金山文档 | WPS云文档】 用户问题组件反馈集成
</t>
    </r>
    <r>
      <rPr>
        <u/>
        <sz val="11"/>
        <color rgb="FF175CEB"/>
        <rFont val="微软雅黑"/>
        <family val="2"/>
        <charset val="134"/>
      </rPr>
      <t>https://365.kdocs.cn/l/csYkqpojJhVg</t>
    </r>
  </si>
  <si>
    <r>
      <rPr>
        <b/>
        <sz val="11"/>
        <color rgb="FFFF0000"/>
        <rFont val="微软雅黑"/>
        <family val="2"/>
        <charset val="134"/>
      </rPr>
      <t>3月底：</t>
    </r>
    <r>
      <rPr>
        <sz val="11"/>
        <color rgb="FF000000"/>
        <rFont val="微软雅黑"/>
        <family val="2"/>
        <charset val="134"/>
      </rPr>
      <t xml:space="preserve">完成对接系统梳理
</t>
    </r>
    <r>
      <rPr>
        <b/>
        <sz val="11"/>
        <color rgb="FFFF0000"/>
        <rFont val="微软雅黑"/>
        <family val="2"/>
        <charset val="134"/>
      </rPr>
      <t>6月底：</t>
    </r>
    <r>
      <rPr>
        <sz val="11"/>
        <color rgb="FF000000"/>
        <rFont val="微软雅黑"/>
        <family val="2"/>
        <charset val="134"/>
      </rPr>
      <t>完成对接</t>
    </r>
  </si>
  <si>
    <r>
      <rPr>
        <b/>
        <sz val="11"/>
        <color rgb="FFFF0000"/>
        <rFont val="等线"/>
        <charset val="134"/>
      </rPr>
      <t>1月底：</t>
    </r>
    <r>
      <rPr>
        <sz val="11"/>
        <color rgb="FF000000"/>
        <rFont val="等线"/>
        <charset val="134"/>
      </rPr>
      <t xml:space="preserve">人力系统正式上线，功能全部开发完成，
</t>
    </r>
    <r>
      <rPr>
        <b/>
        <sz val="11"/>
        <color rgb="FFFF0000"/>
        <rFont val="等线"/>
        <charset val="134"/>
      </rPr>
      <t>2月底：</t>
    </r>
    <r>
      <rPr>
        <sz val="11"/>
        <color rgb="FF000000"/>
        <rFont val="等线"/>
        <charset val="134"/>
      </rPr>
      <t xml:space="preserve">完成与财务系统预算数据打通对齐；（由1月调整2月）
</t>
    </r>
    <r>
      <rPr>
        <b/>
        <sz val="11"/>
        <color rgb="FFFF0000"/>
        <rFont val="等线"/>
        <charset val="134"/>
      </rPr>
      <t>3月底：</t>
    </r>
    <r>
      <rPr>
        <sz val="11"/>
        <color rgb="FF000000"/>
        <rFont val="等线"/>
        <charset val="134"/>
      </rPr>
      <t xml:space="preserve">完成新老系统并行；完成验收内容收集
4月：完成验收资料整理；月底组织全集团培训
5月：完成资料内部评审、修订及内部优化；OA兼职台账收集；人力系统作为人力兼职主数据唯一出口方。
6月：完成国资委对人力系统的整体验收（文档+系统演示：暂定）
</t>
    </r>
    <r>
      <rPr>
        <b/>
        <sz val="11"/>
        <color rgb="FFFF0000"/>
        <rFont val="等线"/>
        <charset val="134"/>
      </rPr>
      <t>7月底：</t>
    </r>
    <r>
      <rPr>
        <sz val="11"/>
        <color rgb="FF000000"/>
        <rFont val="等线"/>
        <charset val="134"/>
      </rPr>
      <t xml:space="preserve">完成培训模块单独部署及数据对接
</t>
    </r>
    <r>
      <rPr>
        <b/>
        <sz val="11"/>
        <color rgb="FFFF0000"/>
        <rFont val="等线"/>
        <charset val="134"/>
      </rPr>
      <t>12月底：</t>
    </r>
    <r>
      <rPr>
        <sz val="11"/>
        <color rgb="FF000000"/>
        <rFont val="等线"/>
        <charset val="134"/>
      </rPr>
      <t>完成源代码、发版回收。</t>
    </r>
  </si>
  <si>
    <r>
      <rPr>
        <b/>
        <sz val="11"/>
        <color rgb="FFFF0000"/>
        <rFont val="等线"/>
        <charset val="134"/>
      </rPr>
      <t>3月6日：</t>
    </r>
    <r>
      <rPr>
        <sz val="11"/>
        <color rgb="FF000000"/>
        <rFont val="等线"/>
        <charset val="134"/>
      </rPr>
      <t>完成集团全场景使用
完成招采平台26年GS任务自研</t>
    </r>
  </si>
  <si>
    <r>
      <rPr>
        <b/>
        <sz val="11"/>
        <color rgb="FFFF0000"/>
        <rFont val="等线"/>
        <charset val="134"/>
      </rPr>
      <t>2月底：</t>
    </r>
    <r>
      <rPr>
        <sz val="11"/>
        <color rgb="FF000000"/>
        <rFont val="等线"/>
        <charset val="134"/>
      </rPr>
      <t xml:space="preserve">完成低值耗材商品采购试运行（部分商品）；
</t>
    </r>
    <r>
      <rPr>
        <b/>
        <sz val="11"/>
        <color rgb="FFFF0000"/>
        <rFont val="等线"/>
        <charset val="134"/>
      </rPr>
      <t>3月底：</t>
    </r>
    <r>
      <rPr>
        <sz val="11"/>
        <color rgb="FF000000"/>
        <rFont val="等线"/>
        <charset val="134"/>
      </rPr>
      <t xml:space="preserve">低值耗材商品采购全面推广（部分商品）；
</t>
    </r>
    <r>
      <rPr>
        <b/>
        <sz val="11"/>
        <color rgb="FFFF0000"/>
        <rFont val="等线"/>
        <charset val="134"/>
      </rPr>
      <t>11月底：</t>
    </r>
    <r>
      <rPr>
        <sz val="11"/>
        <color rgb="FF000000"/>
        <rFont val="等线"/>
        <charset val="134"/>
      </rPr>
      <t>完成计划供应模块上线；</t>
    </r>
  </si>
  <si>
    <r>
      <rPr>
        <b/>
        <sz val="11"/>
        <color rgb="FFFF0000"/>
        <rFont val="等线"/>
        <charset val="134"/>
      </rPr>
      <t>1月底：</t>
    </r>
    <r>
      <rPr>
        <sz val="11"/>
        <color rgb="FF000000"/>
        <rFont val="等线"/>
        <charset val="134"/>
      </rPr>
      <t xml:space="preserve">完成OA调整内容上线；
3月底：完成指标体系需求设计
5月底：完成指标体系、大屏开发、上线
</t>
    </r>
    <r>
      <rPr>
        <b/>
        <sz val="11"/>
        <color rgb="FFFF0000"/>
        <rFont val="等线"/>
        <charset val="134"/>
      </rPr>
      <t>6月底：</t>
    </r>
    <r>
      <rPr>
        <sz val="11"/>
        <color rgb="FF000000"/>
        <rFont val="等线"/>
        <charset val="134"/>
      </rPr>
      <t>完成数据报表及上线；</t>
    </r>
  </si>
  <si>
    <r>
      <rPr>
        <sz val="11"/>
        <color rgb="FF000000"/>
        <rFont val="等线"/>
        <charset val="134"/>
      </rPr>
      <t>1、已经完成系统演示，正在根据业主要求进行整改，计划本周周四完成，周五进行整体联调；【金山文档</t>
    </r>
    <r>
      <rPr>
        <sz val="11"/>
        <color rgb="FF000000"/>
        <rFont val="等线"/>
        <charset val="134"/>
      </rPr>
      <t xml:space="preserve"> |</t>
    </r>
    <r>
      <rPr>
        <sz val="11"/>
        <color rgb="FF000000"/>
        <rFont val="等线"/>
        <charset val="134"/>
      </rPr>
      <t xml:space="preserve"> WPS云文档】</t>
    </r>
    <r>
      <rPr>
        <sz val="11"/>
        <color rgb="FF000000"/>
        <rFont val="等线"/>
        <charset val="134"/>
      </rPr>
      <t xml:space="preserve"> 20251205会议需求待办</t>
    </r>
    <r>
      <rPr>
        <u/>
        <sz val="11"/>
        <color rgb="FF175CEB"/>
        <rFont val="等线"/>
        <charset val="134"/>
      </rPr>
      <t xml:space="preserve">
https://365.kdocs.cn/l/cpoCsR2Yenmk</t>
    </r>
    <r>
      <rPr>
        <sz val="11"/>
        <color rgb="FF000000"/>
        <rFont val="等线"/>
        <charset val="134"/>
      </rPr>
      <t xml:space="preserve">
2、指标监控模块已经完成初步设计并向业主汇报，并正式进入开发，预计4月完成初版开发</t>
    </r>
  </si>
  <si>
    <r>
      <rPr>
        <b/>
        <sz val="11"/>
        <color rgb="FFFF0000"/>
        <rFont val="等线"/>
        <charset val="134"/>
      </rPr>
      <t>4月底：</t>
    </r>
    <r>
      <rPr>
        <sz val="11"/>
        <color rgb="FF000000"/>
        <rFont val="等线"/>
        <charset val="134"/>
      </rPr>
      <t>完成系统上线
系统迭代</t>
    </r>
  </si>
  <si>
    <r>
      <rPr>
        <sz val="11"/>
        <color rgb="FF000000"/>
        <rFont val="等线"/>
        <charset val="134"/>
      </rPr>
      <t>（1）需求任务:项目全过程原型确认；</t>
    </r>
    <r>
      <rPr>
        <u/>
        <sz val="11"/>
        <color rgb="FF175CEB"/>
        <rFont val="等线"/>
        <charset val="134"/>
      </rPr>
      <t xml:space="preserve">
https://modao.cc/proto/64pLckystiss8u5MjMtu4/sharing?view_mode=read_only&amp;screen=rbpUvVg3Y7IgEaUAg</t>
    </r>
    <r>
      <rPr>
        <sz val="11"/>
        <color rgb="FF000000"/>
        <rFont val="等线"/>
        <charset val="134"/>
      </rPr>
      <t xml:space="preserve"> #信科经管二期v3.0-分享</t>
    </r>
    <r>
      <rPr>
        <sz val="11"/>
        <color rgb="FF000000"/>
        <rFont val="等线"/>
        <charset val="134"/>
      </rPr>
      <t xml:space="preserve">  密码:</t>
    </r>
    <r>
      <rPr>
        <sz val="11"/>
        <color rgb="FF000000"/>
        <rFont val="等线"/>
        <charset val="134"/>
      </rPr>
      <t xml:space="preserve"> ix7o32</t>
    </r>
    <r>
      <rPr>
        <sz val="11"/>
        <color rgb="FF000000"/>
        <rFont val="等线"/>
        <charset val="134"/>
      </rPr>
      <t xml:space="preserve">
（2）开发任务:经营看板优化实现。</t>
    </r>
  </si>
  <si>
    <r>
      <rPr>
        <b/>
        <sz val="11"/>
        <color rgb="FFFF0000"/>
        <rFont val="等线"/>
        <charset val="134"/>
      </rPr>
      <t>4月底：</t>
    </r>
    <r>
      <rPr>
        <sz val="11"/>
        <color rgb="FF000000"/>
        <rFont val="等线"/>
        <charset val="134"/>
      </rPr>
      <t>完成档案系统问题整改及源代码接收</t>
    </r>
  </si>
  <si>
    <r>
      <rPr>
        <sz val="11"/>
        <color rgb="FF000000"/>
        <rFont val="等线"/>
        <charset val="134"/>
      </rPr>
      <t xml:space="preserve">持续进行数据交换需求开发与业务数据标准实施；
</t>
    </r>
    <r>
      <rPr>
        <b/>
        <sz val="11"/>
        <color rgb="FFFF0000"/>
        <rFont val="等线"/>
        <charset val="134"/>
      </rPr>
      <t>3月底：</t>
    </r>
    <r>
      <rPr>
        <sz val="11"/>
        <color rgb="FF000000"/>
        <rFont val="等线"/>
        <charset val="134"/>
      </rPr>
      <t xml:space="preserve">
     1、结合创新任务AI智慧大脑，完成部分；
年度完成一次数据标准方案修订(以大运营为试点)
     2、完成数据统一接口方案
4月底：
     1、完成统一基础数据稽核与21类实体数据分发
5月底：
     1、完成移动端驾驶舱上线试运行；
     2、完成数据指标体系上架；
     3、完成四大业务板块模型设计与资源挂载</t>
    </r>
  </si>
  <si>
    <r>
      <rPr>
        <sz val="11"/>
        <color rgb="FF000000"/>
        <rFont val="等线"/>
        <charset val="134"/>
      </rPr>
      <t>1、集团管控和对内总舱移动端开发已经完成，完成产业经营移动端</t>
    </r>
    <r>
      <rPr>
        <sz val="11"/>
        <color rgb="FF000000"/>
        <rFont val="等线"/>
        <charset val="134"/>
      </rPr>
      <t xml:space="preserve"> UI</t>
    </r>
    <r>
      <rPr>
        <sz val="11"/>
        <color rgb="FF000000"/>
        <rFont val="等线"/>
        <charset val="134"/>
      </rPr>
      <t xml:space="preserve"> 设计；</t>
    </r>
    <r>
      <rPr>
        <sz val="11"/>
        <color rgb="FF000000"/>
        <rFont val="等线"/>
        <charset val="134"/>
      </rPr>
      <t xml:space="preserve">
2.数据交换需求:支撑智慧隧道大湾数字孪生、集团内部系统交互、大运营桥梁管养及桥隧边坡监测一体化驾驶舱等核心业务场景。同步完成接口标准化建设，累计输出接口文档52份；</t>
    </r>
    <r>
      <rPr>
        <sz val="11"/>
        <color rgb="FF000000"/>
        <rFont val="等线"/>
        <charset val="134"/>
      </rPr>
      <t xml:space="preserve">
3.数据治理：根据数据交换需求、驾驶舱场景和集团管控、产业经营完成相关系统数据治理和模型设计，并进行数据编目资源挂接，累计完成</t>
    </r>
    <r>
      <rPr>
        <sz val="11"/>
        <color rgb="FF000000"/>
        <rFont val="等线"/>
        <charset val="134"/>
      </rPr>
      <t xml:space="preserve"> 280+个</t>
    </r>
    <r>
      <rPr>
        <sz val="11"/>
        <color rgb="FF000000"/>
        <rFont val="等线"/>
        <charset val="134"/>
      </rPr>
      <t xml:space="preserve"> dwd</t>
    </r>
    <r>
      <rPr>
        <sz val="11"/>
        <color rgb="FF000000"/>
        <rFont val="等线"/>
        <charset val="134"/>
      </rPr>
      <t xml:space="preserve"> 模型的资源挂载，39个</t>
    </r>
    <r>
      <rPr>
        <sz val="11"/>
        <color rgb="FF000000"/>
        <rFont val="等线"/>
        <charset val="134"/>
      </rPr>
      <t xml:space="preserve"> dws</t>
    </r>
    <r>
      <rPr>
        <sz val="11"/>
        <color rgb="FF000000"/>
        <rFont val="等线"/>
        <charset val="134"/>
      </rPr>
      <t xml:space="preserve"> 主题模型的资源挂载，56个数据资源的标准实施，36个dws模型的设计、开发；</t>
    </r>
    <r>
      <rPr>
        <sz val="11"/>
        <color rgb="FF000000"/>
        <rFont val="等线"/>
        <charset val="134"/>
      </rPr>
      <t xml:space="preserve">
4.完成21类主数据离线数据与标准化梳理，并实施多源数据的一致性比对与差异分析，完成门架、摄像头、收费站等实体初步数据稽核；</t>
    </r>
    <r>
      <rPr>
        <sz val="11"/>
        <color rgb="FF000000"/>
        <rFont val="等线"/>
        <charset val="134"/>
      </rPr>
      <t xml:space="preserve">
5.指标体系：集团汇总指标清单调研和梳理口径定义，并对指标进行开发，各业务板块已开发指标进行纳管，累计完成产业经营服务区体系指标</t>
    </r>
    <r>
      <rPr>
        <sz val="11"/>
        <color rgb="FF000000"/>
        <rFont val="等线"/>
        <charset val="134"/>
      </rPr>
      <t xml:space="preserve"> 50</t>
    </r>
    <r>
      <rPr>
        <sz val="11"/>
        <color rgb="FF000000"/>
        <rFont val="等线"/>
        <charset val="134"/>
      </rPr>
      <t xml:space="preserve"> 个，集团管控指标</t>
    </r>
    <r>
      <rPr>
        <sz val="11"/>
        <color rgb="FF000000"/>
        <rFont val="等线"/>
        <charset val="134"/>
      </rPr>
      <t xml:space="preserve"> 30</t>
    </r>
    <r>
      <rPr>
        <sz val="11"/>
        <color rgb="FF000000"/>
        <rFont val="等线"/>
        <charset val="134"/>
      </rPr>
      <t xml:space="preserve"> 个；</t>
    </r>
    <r>
      <rPr>
        <sz val="11"/>
        <color rgb="FF000000"/>
        <rFont val="等线"/>
        <charset val="134"/>
      </rPr>
      <t xml:space="preserve">
6‘统一接口方案：【金山文档</t>
    </r>
    <r>
      <rPr>
        <sz val="11"/>
        <color rgb="FF000000"/>
        <rFont val="等线"/>
        <charset val="134"/>
      </rPr>
      <t xml:space="preserve"> |</t>
    </r>
    <r>
      <rPr>
        <sz val="11"/>
        <color rgb="FF000000"/>
        <rFont val="等线"/>
        <charset val="134"/>
      </rPr>
      <t xml:space="preserve"> WPS云文档】</t>
    </r>
    <r>
      <rPr>
        <sz val="11"/>
        <color rgb="FF000000"/>
        <rFont val="等线"/>
        <charset val="134"/>
      </rPr>
      <t xml:space="preserve"> 数据中台统一数据接口方案</t>
    </r>
    <r>
      <rPr>
        <u/>
        <sz val="11"/>
        <color rgb="FF175CEB"/>
        <rFont val="等线"/>
        <charset val="134"/>
      </rPr>
      <t xml:space="preserve">
https://www.kdocs.cn/l/cpxFS4LNsc2m</t>
    </r>
  </si>
  <si>
    <r>
      <rPr>
        <b/>
        <sz val="11"/>
        <color rgb="FFFF0000"/>
        <rFont val="等线"/>
        <charset val="134"/>
      </rPr>
      <t>3月：</t>
    </r>
    <r>
      <rPr>
        <sz val="11"/>
        <color rgb="FF000000"/>
        <rFont val="等线"/>
        <charset val="134"/>
      </rPr>
      <t xml:space="preserve">完成非线性算法训练
4月：完成训练数据补采
</t>
    </r>
    <r>
      <rPr>
        <b/>
        <sz val="11"/>
        <color rgb="FFFF0000"/>
        <rFont val="等线"/>
        <charset val="134"/>
      </rPr>
      <t>5月：</t>
    </r>
    <r>
      <rPr>
        <sz val="11"/>
        <color rgb="FF000000"/>
        <rFont val="等线"/>
        <charset val="134"/>
      </rPr>
      <t>完成历史数据测试</t>
    </r>
  </si>
  <si>
    <r>
      <rPr>
        <sz val="11"/>
        <color rgb="FF000000"/>
        <rFont val="等线"/>
        <charset val="134"/>
      </rPr>
      <t>四月：对接原维护方完成资料交接、全面调研现有平台；</t>
    </r>
    <r>
      <rPr>
        <sz val="11"/>
        <color rgb="FF000000"/>
        <rFont val="等线"/>
        <charset val="134"/>
      </rPr>
      <t xml:space="preserve">
五月：平稳接管现有MDM平台数据现状，适配业务与数据中台需求</t>
    </r>
  </si>
  <si>
    <r>
      <rPr>
        <sz val="11"/>
        <color rgb="FF000000"/>
        <rFont val="等线"/>
        <charset val="134"/>
      </rPr>
      <t>3月：完成系统清单收集，排出接收计划；【金山文档</t>
    </r>
    <r>
      <rPr>
        <sz val="11"/>
        <color rgb="FF000000"/>
        <rFont val="等线"/>
        <charset val="134"/>
      </rPr>
      <t xml:space="preserve"> |</t>
    </r>
    <r>
      <rPr>
        <sz val="11"/>
        <color rgb="FF000000"/>
        <rFont val="等线"/>
        <charset val="134"/>
      </rPr>
      <t xml:space="preserve"> WPS云文档】</t>
    </r>
    <r>
      <rPr>
        <sz val="11"/>
        <color rgb="FF000000"/>
        <rFont val="等线"/>
        <charset val="134"/>
      </rPr>
      <t xml:space="preserve"> 集团管控系统接维清单</t>
    </r>
    <r>
      <rPr>
        <u/>
        <sz val="11"/>
        <color rgb="FF175CEB"/>
        <rFont val="等线"/>
        <charset val="134"/>
      </rPr>
      <t xml:space="preserve">
https://www.kdocs.cn/l/cvawOXuxL52U</t>
    </r>
    <r>
      <rPr>
        <sz val="11"/>
        <color rgb="FF000000"/>
        <rFont val="等线"/>
        <charset val="134"/>
      </rPr>
      <t xml:space="preserve">
完成所有系统接收</t>
    </r>
  </si>
  <si>
    <r>
      <rPr>
        <sz val="11"/>
        <color rgb="FF000000"/>
        <rFont val="等线"/>
        <charset val="134"/>
      </rPr>
      <t>已完成</t>
    </r>
    <r>
      <rPr>
        <sz val="11"/>
        <color rgb="FF000000"/>
        <rFont val="等线"/>
        <charset val="134"/>
      </rPr>
      <t xml:space="preserve">
【金山文档</t>
    </r>
    <r>
      <rPr>
        <sz val="11"/>
        <color rgb="FF000000"/>
        <rFont val="等线"/>
        <charset val="134"/>
      </rPr>
      <t xml:space="preserve"> |</t>
    </r>
    <r>
      <rPr>
        <sz val="11"/>
        <color rgb="FF000000"/>
        <rFont val="等线"/>
        <charset val="134"/>
      </rPr>
      <t xml:space="preserve"> WPS云文档】</t>
    </r>
    <r>
      <rPr>
        <sz val="11"/>
        <color rgb="FF000000"/>
        <rFont val="等线"/>
        <charset val="134"/>
      </rPr>
      <t xml:space="preserve"> 集团管控系统接维清单</t>
    </r>
    <r>
      <rPr>
        <u/>
        <sz val="11"/>
        <color rgb="FF175CEB"/>
        <rFont val="等线"/>
        <charset val="134"/>
      </rPr>
      <t xml:space="preserve">
https://www.kdocs.cn/l/cvawOXuxL52U</t>
    </r>
  </si>
  <si>
    <r>
      <rPr>
        <b/>
        <sz val="11"/>
        <color rgb="FFFF0000"/>
        <rFont val="等线"/>
        <charset val="134"/>
      </rPr>
      <t>6月：</t>
    </r>
    <r>
      <rPr>
        <sz val="11"/>
        <color rgb="FF000000"/>
        <rFont val="等线"/>
        <charset val="134"/>
      </rPr>
      <t>完成框架初始化搭建</t>
    </r>
    <r>
      <rPr>
        <b/>
        <sz val="11"/>
        <color rgb="FFFF0000"/>
        <rFont val="等线"/>
        <charset val="134"/>
      </rPr>
      <t xml:space="preserve">
10月底：</t>
    </r>
    <r>
      <rPr>
        <sz val="11"/>
        <color rgb="FF000000"/>
        <rFont val="等线"/>
        <charset val="134"/>
      </rPr>
      <t>完成项目重构完成</t>
    </r>
    <r>
      <rPr>
        <b/>
        <sz val="11"/>
        <color rgb="FFFF0000"/>
        <rFont val="等线"/>
        <charset val="134"/>
      </rPr>
      <t xml:space="preserve">
11月：</t>
    </r>
    <r>
      <rPr>
        <sz val="11"/>
        <color rgb="FF000000"/>
        <rFont val="等线"/>
        <charset val="134"/>
      </rPr>
      <t>数据迁移，新系统上线</t>
    </r>
  </si>
  <si>
    <r>
      <rPr>
        <b/>
        <sz val="11"/>
        <color rgb="FFFF0000"/>
        <rFont val="等线"/>
        <charset val="134"/>
      </rPr>
      <t>5月底之前：</t>
    </r>
    <r>
      <rPr>
        <sz val="11"/>
        <color rgb="FF000000"/>
        <rFont val="等线"/>
        <charset val="134"/>
      </rPr>
      <t>完成集团70对服务区接入服务区平台</t>
    </r>
    <r>
      <rPr>
        <b/>
        <sz val="11"/>
        <color rgb="FFFF0000"/>
        <rFont val="等线"/>
        <charset val="134"/>
      </rPr>
      <t xml:space="preserve">
12月底：</t>
    </r>
    <r>
      <rPr>
        <sz val="11"/>
        <color rgb="FF000000"/>
        <rFont val="等线"/>
        <charset val="134"/>
      </rPr>
      <t>配合交通厅完成非集团37对服务区接入服务区平台；完成集团9对服务区接入服务区平台</t>
    </r>
  </si>
  <si>
    <r>
      <rPr>
        <sz val="11"/>
        <color rgb="FF000000"/>
        <rFont val="等线"/>
        <charset val="134"/>
      </rPr>
      <t>1.完成64对服务区三目接入至服务区平台，完成32对服务区的算法推送至平台【金山文档</t>
    </r>
    <r>
      <rPr>
        <sz val="11"/>
        <color rgb="FF000000"/>
        <rFont val="等线"/>
        <charset val="134"/>
      </rPr>
      <t xml:space="preserve"> |</t>
    </r>
    <r>
      <rPr>
        <sz val="11"/>
        <color rgb="FF000000"/>
        <rFont val="等线"/>
        <charset val="134"/>
      </rPr>
      <t xml:space="preserve"> WPS云文档】</t>
    </r>
    <r>
      <rPr>
        <sz val="11"/>
        <color rgb="FF000000"/>
        <rFont val="等线"/>
        <charset val="134"/>
      </rPr>
      <t xml:space="preserve"> 服务区外场设备台账清单【各设备类型】</t>
    </r>
    <r>
      <rPr>
        <u/>
        <sz val="11"/>
        <color rgb="FF175CEB"/>
        <rFont val="等线"/>
        <charset val="134"/>
      </rPr>
      <t xml:space="preserve">
https://365.kdocs.cn/l/cjBjo7MkjkY4</t>
    </r>
    <r>
      <rPr>
        <sz val="11"/>
        <color rgb="FF000000"/>
        <rFont val="等线"/>
        <charset val="134"/>
      </rPr>
      <t>。2.完成交通部绩效考核材料编制整理并提交给厅里。3.如期3月15日完成服务区平台主数据推送对接。</t>
    </r>
  </si>
  <si>
    <r>
      <rPr>
        <sz val="11"/>
        <color rgb="FF000000"/>
        <rFont val="等线"/>
        <charset val="134"/>
      </rPr>
      <t>【金山文档</t>
    </r>
    <r>
      <rPr>
        <sz val="11"/>
        <color rgb="FF000000"/>
        <rFont val="等线"/>
        <charset val="134"/>
      </rPr>
      <t xml:space="preserve"> |</t>
    </r>
    <r>
      <rPr>
        <sz val="11"/>
        <color rgb="FF000000"/>
        <rFont val="等线"/>
        <charset val="134"/>
      </rPr>
      <t xml:space="preserve"> WPS云文档】</t>
    </r>
    <r>
      <rPr>
        <sz val="11"/>
        <color rgb="FF000000"/>
        <rFont val="等线"/>
        <charset val="134"/>
      </rPr>
      <t xml:space="preserve"> 统一待办-服务区平台对接计划</t>
    </r>
    <r>
      <rPr>
        <u/>
        <sz val="11"/>
        <color rgb="FF175CEB"/>
        <rFont val="等线"/>
        <charset val="134"/>
      </rPr>
      <t xml:space="preserve">
https://365.kdocs.cn/l/crzu7yMwwKRr</t>
    </r>
  </si>
  <si>
    <r>
      <rPr>
        <sz val="11"/>
        <color rgb="FF000000"/>
        <rFont val="等线"/>
        <charset val="134"/>
      </rPr>
      <t>1.沟通确定接入计划及接入代办类型。【金山文档</t>
    </r>
    <r>
      <rPr>
        <sz val="11"/>
        <color rgb="FF000000"/>
        <rFont val="等线"/>
        <charset val="134"/>
      </rPr>
      <t xml:space="preserve"> |</t>
    </r>
    <r>
      <rPr>
        <sz val="11"/>
        <color rgb="FF000000"/>
        <rFont val="等线"/>
        <charset val="134"/>
      </rPr>
      <t xml:space="preserve"> WPS云文档】</t>
    </r>
    <r>
      <rPr>
        <sz val="11"/>
        <color rgb="FF000000"/>
        <rFont val="等线"/>
        <charset val="134"/>
      </rPr>
      <t xml:space="preserve"> 统一待办-服务区平台对接计划</t>
    </r>
    <r>
      <rPr>
        <u/>
        <sz val="11"/>
        <color rgb="FF175CEB"/>
        <rFont val="等线"/>
        <charset val="134"/>
      </rPr>
      <t xml:space="preserve">
https://365.kdocs.cn/l/crzu7yMwwKRr</t>
    </r>
  </si>
  <si>
    <r>
      <rPr>
        <sz val="11"/>
        <color rgb="FF000000"/>
        <rFont val="等线"/>
        <charset val="134"/>
      </rPr>
      <t>1.完成与任务中心对接联调【金山文档</t>
    </r>
    <r>
      <rPr>
        <sz val="11"/>
        <color rgb="FF000000"/>
        <rFont val="等线"/>
        <charset val="134"/>
      </rPr>
      <t xml:space="preserve"> |</t>
    </r>
    <r>
      <rPr>
        <sz val="11"/>
        <color rgb="FF000000"/>
        <rFont val="等线"/>
        <charset val="134"/>
      </rPr>
      <t xml:space="preserve"> WPS云文档】</t>
    </r>
    <r>
      <rPr>
        <sz val="11"/>
        <color rgb="FF000000"/>
        <rFont val="等线"/>
        <charset val="134"/>
      </rPr>
      <t xml:space="preserve"> 统一待办-服务区平台对接计划</t>
    </r>
    <r>
      <rPr>
        <u/>
        <sz val="11"/>
        <color rgb="FF175CEB"/>
        <rFont val="等线"/>
        <charset val="134"/>
      </rPr>
      <t xml:space="preserve">
https://365.kdocs.cn/l/crzu7yMwwKRr</t>
    </r>
  </si>
  <si>
    <r>
      <rPr>
        <b/>
        <sz val="11"/>
        <color rgb="FFFF0000"/>
        <rFont val="微软雅黑"/>
        <family val="2"/>
        <charset val="134"/>
      </rPr>
      <t>5月底：</t>
    </r>
    <r>
      <rPr>
        <sz val="11"/>
        <color rgb="FF000000"/>
        <rFont val="微软雅黑"/>
        <family val="2"/>
        <charset val="134"/>
      </rPr>
      <t xml:space="preserve">完成云平台、技术底座建设
</t>
    </r>
    <r>
      <rPr>
        <b/>
        <sz val="11"/>
        <color rgb="FFFF0000"/>
        <rFont val="微软雅黑"/>
        <family val="2"/>
        <charset val="134"/>
      </rPr>
      <t>9月底：</t>
    </r>
    <r>
      <rPr>
        <sz val="11"/>
        <color rgb="FF000000"/>
        <rFont val="微软雅黑"/>
        <family val="2"/>
        <charset val="134"/>
      </rPr>
      <t xml:space="preserve">完成数转相关业务域数据治理
</t>
    </r>
    <r>
      <rPr>
        <b/>
        <sz val="11"/>
        <color rgb="FFFF0000"/>
        <rFont val="微软雅黑"/>
        <family val="2"/>
        <charset val="134"/>
      </rPr>
      <t>12月底：</t>
    </r>
    <r>
      <rPr>
        <sz val="11"/>
        <color rgb="FF000000"/>
        <rFont val="微软雅黑"/>
        <family val="2"/>
        <charset val="134"/>
      </rPr>
      <t>建立至少一个数据产品合作关系</t>
    </r>
  </si>
  <si>
    <r>
      <rPr>
        <sz val="11"/>
        <color rgb="FF000000"/>
        <rFont val="等线"/>
        <charset val="134"/>
      </rPr>
      <t>【金山文档</t>
    </r>
    <r>
      <rPr>
        <sz val="11"/>
        <color rgb="FF000000"/>
        <rFont val="等线"/>
        <charset val="134"/>
      </rPr>
      <t xml:space="preserve"> |</t>
    </r>
    <r>
      <rPr>
        <sz val="11"/>
        <color rgb="FF000000"/>
        <rFont val="等线"/>
        <charset val="134"/>
      </rPr>
      <t xml:space="preserve"> WPS云文档】</t>
    </r>
    <r>
      <rPr>
        <sz val="11"/>
        <color rgb="FF000000"/>
        <rFont val="等线"/>
        <charset val="134"/>
      </rPr>
      <t xml:space="preserve"> 数字底座待办工作情况</t>
    </r>
    <r>
      <rPr>
        <u/>
        <sz val="11"/>
        <color rgb="FF175CEB"/>
        <rFont val="等线"/>
        <charset val="134"/>
      </rPr>
      <t xml:space="preserve">
https://365.kdocs.cn/l/cjPdadULWq0Y</t>
    </r>
  </si>
  <si>
    <r>
      <rPr>
        <sz val="12"/>
        <color rgb="FFFF0000"/>
        <rFont val="等线"/>
        <charset val="134"/>
      </rPr>
      <t>5–6月（指标体系）</t>
    </r>
    <r>
      <rPr>
        <sz val="12"/>
        <color rgb="FF000000"/>
        <rFont val="等线"/>
        <charset val="134"/>
      </rPr>
      <t xml:space="preserve">
完成经营管理指标体系设计
明确KPI/运营指标口径
梳理数据来源
验收：
指标覆盖 ≥80%
指标口径统一发布
</t>
    </r>
    <r>
      <rPr>
        <sz val="12"/>
        <color rgb="FFFF0000"/>
        <rFont val="等线"/>
        <charset val="134"/>
      </rPr>
      <t>7–9月（系统建设）</t>
    </r>
    <r>
      <rPr>
        <sz val="12"/>
        <color rgb="FF000000"/>
        <rFont val="等线"/>
        <charset val="134"/>
      </rPr>
      <t xml:space="preserve">
完成驾驶舱原型设计
打通基础数据源
建设经营分析模型（成本/效率/收入）
验收：
数据接入率 ≥70%
原型系统可演示
</t>
    </r>
    <r>
      <rPr>
        <sz val="12"/>
        <color rgb="FFFF0000"/>
        <rFont val="等线"/>
        <charset val="134"/>
      </rPr>
      <t>10–12月（上线运行）</t>
    </r>
    <r>
      <rPr>
        <sz val="12"/>
        <color rgb="FF000000"/>
        <rFont val="等线"/>
        <charset val="134"/>
      </rPr>
      <t xml:space="preserve">
上线经营管理驾驶舱V1.0
支撑月度经营分析
验收：
驾驶舱稳定运行
月度分析常态化输出
</t>
    </r>
    <r>
      <rPr>
        <sz val="12"/>
        <color rgb="FFFF0000"/>
        <rFont val="等线"/>
        <charset val="134"/>
      </rPr>
      <t>（三）验收标准（年度）</t>
    </r>
    <r>
      <rPr>
        <sz val="12"/>
        <color rgb="FF000000"/>
        <rFont val="等线"/>
        <charset val="134"/>
      </rPr>
      <t xml:space="preserve">
指标体系覆盖率 ≥80%
数据接入率 ≥70%
驾驶舱上线并稳定运行</t>
    </r>
  </si>
  <si>
    <r>
      <rPr>
        <sz val="11"/>
        <color rgb="FF000000"/>
        <rFont val="等线"/>
        <charset val="134"/>
      </rPr>
      <t>1、完成一路多方系统的需求调研和需求稳定编制</t>
    </r>
    <r>
      <rPr>
        <sz val="11"/>
        <color rgb="FF000000"/>
        <rFont val="等线"/>
        <charset val="134"/>
      </rPr>
      <t xml:space="preserve">
2、完成</t>
    </r>
    <r>
      <rPr>
        <sz val="11"/>
        <color rgb="FF000000"/>
        <rFont val="等线"/>
        <charset val="134"/>
      </rPr>
      <t xml:space="preserve">
水泥</t>
    </r>
    <r>
      <rPr>
        <sz val="11"/>
        <color rgb="FF000000"/>
        <rFont val="等线"/>
        <charset val="134"/>
      </rPr>
      <t xml:space="preserve"> http://47.119.162.228:50100/index</t>
    </r>
    <r>
      <rPr>
        <sz val="11"/>
        <color rgb="FF000000"/>
        <rFont val="等线"/>
        <charset val="134"/>
      </rPr>
      <t xml:space="preserve">  
沥青</t>
    </r>
    <r>
      <rPr>
        <sz val="11"/>
        <color rgb="FF000000"/>
        <rFont val="等线"/>
        <charset val="134"/>
      </rPr>
      <t xml:space="preserve"> http://47.119.162.228:10200/index</t>
    </r>
    <r>
      <rPr>
        <sz val="11"/>
        <color rgb="FF000000"/>
        <rFont val="等线"/>
        <charset val="134"/>
      </rPr>
      <t xml:space="preserve">
实验质检：</t>
    </r>
    <r>
      <rPr>
        <u/>
        <sz val="11"/>
        <color rgb="FF175CEB"/>
        <rFont val="等线"/>
        <charset val="134"/>
      </rPr>
      <t>https://zlkr.lgjxm.com/</t>
    </r>
    <r>
      <rPr>
        <sz val="11"/>
        <color rgb="FF000000"/>
        <rFont val="等线"/>
        <charset val="134"/>
      </rPr>
      <t xml:space="preserve">
3个网站的安全扫描</t>
    </r>
  </si>
  <si>
    <r>
      <rPr>
        <sz val="11"/>
        <color rgb="FF000000"/>
        <rFont val="等线"/>
        <charset val="134"/>
      </rPr>
      <t>1.已经完成桂郴无人机的对接，方案地址：【金山文档</t>
    </r>
    <r>
      <rPr>
        <sz val="11"/>
        <color rgb="FF000000"/>
        <rFont val="等线"/>
        <charset val="134"/>
      </rPr>
      <t xml:space="preserve"> |</t>
    </r>
    <r>
      <rPr>
        <sz val="11"/>
        <color rgb="FF000000"/>
        <rFont val="等线"/>
        <charset val="134"/>
      </rPr>
      <t xml:space="preserve"> WPS云文档】</t>
    </r>
    <r>
      <rPr>
        <sz val="11"/>
        <color rgb="FF000000"/>
        <rFont val="等线"/>
        <charset val="134"/>
      </rPr>
      <t xml:space="preserve"> 安全预警平台与湖南高速集团工单一体化平台对接需求方案20260114</t>
    </r>
    <r>
      <rPr>
        <u/>
        <sz val="11"/>
        <color rgb="FF175CEB"/>
        <rFont val="等线"/>
        <charset val="134"/>
      </rPr>
      <t xml:space="preserve">
https://365.kdocs.cn/l/cbxrNs5oiLh7</t>
    </r>
    <r>
      <rPr>
        <sz val="11"/>
        <color rgb="FF000000"/>
        <rFont val="等线"/>
        <charset val="134"/>
      </rPr>
      <t>，接口文档：</t>
    </r>
    <r>
      <rPr>
        <u/>
        <sz val="11"/>
        <color rgb="FF175CEB"/>
        <rFont val="等线"/>
        <charset val="134"/>
      </rPr>
      <t>https://docs.apipost.net/docs/detail/5b3c08417c88000?target_id=2e62c2df346001</t>
    </r>
  </si>
  <si>
    <r>
      <rPr>
        <b/>
        <sz val="11"/>
        <color rgb="FFFF0000"/>
        <rFont val="等线"/>
        <charset val="134"/>
      </rPr>
      <t>5月底：</t>
    </r>
    <r>
      <rPr>
        <sz val="11"/>
        <color rgb="FF000000"/>
        <rFont val="等线"/>
        <charset val="134"/>
      </rPr>
      <t xml:space="preserve">完成养护工程立项，设计，施工需求调研与原型设计；（已完成）
</t>
    </r>
    <r>
      <rPr>
        <b/>
        <sz val="11"/>
        <color rgb="FFFF0000"/>
        <rFont val="等线"/>
        <charset val="134"/>
      </rPr>
      <t>6月底：</t>
    </r>
    <r>
      <rPr>
        <sz val="11"/>
        <color rgb="FF000000"/>
        <rFont val="等线"/>
        <charset val="134"/>
      </rPr>
      <t xml:space="preserve">完成养护工程变更，交工，计量请款设计需求调研与原型设计；（已完成）
</t>
    </r>
    <r>
      <rPr>
        <b/>
        <sz val="11"/>
        <color rgb="FFFF0000"/>
        <rFont val="等线"/>
        <charset val="134"/>
      </rPr>
      <t>8月底：</t>
    </r>
    <r>
      <rPr>
        <sz val="11"/>
        <color rgb="FF000000"/>
        <rFont val="等线"/>
        <charset val="134"/>
      </rPr>
      <t xml:space="preserve">养护全生命周期管理闭环（计划-实施-考核-检查线上化管理，实现数据联动），依据项目编码查询项目全过程数据；
</t>
    </r>
    <r>
      <rPr>
        <b/>
        <sz val="11"/>
        <color rgb="FFFF0000"/>
        <rFont val="等线"/>
        <charset val="134"/>
      </rPr>
      <t>10月底：</t>
    </r>
    <r>
      <rPr>
        <sz val="11"/>
        <color rgb="FF000000"/>
        <rFont val="等线"/>
        <charset val="134"/>
      </rPr>
      <t xml:space="preserve">完成养护工程变更，交工，计量请款的开发。
</t>
    </r>
    <r>
      <rPr>
        <b/>
        <sz val="11"/>
        <color rgb="FFFF0000"/>
        <rFont val="等线"/>
        <charset val="134"/>
      </rPr>
      <t>12月底：</t>
    </r>
    <r>
      <rPr>
        <sz val="11"/>
        <color rgb="FF000000"/>
        <rFont val="等线"/>
        <charset val="134"/>
      </rPr>
      <t>进度管理升级</t>
    </r>
  </si>
  <si>
    <r>
      <rPr>
        <b/>
        <sz val="11"/>
        <color rgb="FFFF0000"/>
        <rFont val="等线"/>
        <charset val="134"/>
      </rPr>
      <t>3月底：</t>
    </r>
    <r>
      <rPr>
        <sz val="11"/>
        <color rgb="FF000000"/>
        <rFont val="等线"/>
        <charset val="134"/>
      </rPr>
      <t xml:space="preserve">完成操作型界面需参考数据确认，完成需求分析
</t>
    </r>
    <r>
      <rPr>
        <b/>
        <sz val="11"/>
        <color rgb="FFFF0000"/>
        <rFont val="等线"/>
        <charset val="134"/>
      </rPr>
      <t>6月底：</t>
    </r>
    <r>
      <rPr>
        <sz val="11"/>
        <color rgb="FF000000"/>
        <rFont val="等线"/>
        <charset val="134"/>
      </rPr>
      <t>完成操作型界面数据联动需求开发；</t>
    </r>
  </si>
  <si>
    <r>
      <rPr>
        <b/>
        <sz val="11"/>
        <color rgb="FFFF0000"/>
        <rFont val="等线"/>
        <charset val="134"/>
      </rPr>
      <t>3月底：</t>
    </r>
    <r>
      <rPr>
        <sz val="11"/>
        <color rgb="FF000000"/>
        <rFont val="等线"/>
        <charset val="134"/>
      </rPr>
      <t xml:space="preserve"> 完成路面科学决策优化，
6月底：搭建隧道科学决策系统（隧道的进度需要排期）；</t>
    </r>
  </si>
  <si>
    <r>
      <rPr>
        <b/>
        <sz val="11"/>
        <color rgb="FFFF0000"/>
        <rFont val="等线"/>
        <charset val="134"/>
      </rPr>
      <t>1月底：</t>
    </r>
    <r>
      <rPr>
        <sz val="11"/>
        <color rgb="FF000000"/>
        <rFont val="等线"/>
        <charset val="134"/>
      </rPr>
      <t xml:space="preserve">基础数据试点工作(长沙，怀化)
</t>
    </r>
    <r>
      <rPr>
        <b/>
        <sz val="11"/>
        <color rgb="FFFF0000"/>
        <rFont val="等线"/>
        <charset val="134"/>
      </rPr>
      <t>5月底：</t>
    </r>
    <r>
      <rPr>
        <sz val="11"/>
        <color rgb="FF000000"/>
        <rFont val="等线"/>
        <charset val="134"/>
      </rPr>
      <t xml:space="preserve">大运营根据新基础数据要求完成对应路基，路面，隧道，桥梁相关功能页面的原型设计。
</t>
    </r>
    <r>
      <rPr>
        <b/>
        <sz val="11"/>
        <color rgb="FFFF0000"/>
        <rFont val="等线"/>
        <charset val="134"/>
      </rPr>
      <t>6月底：</t>
    </r>
    <r>
      <rPr>
        <sz val="11"/>
        <color rgb="FF000000"/>
        <rFont val="等线"/>
        <charset val="134"/>
      </rPr>
      <t xml:space="preserve">
     1、完成全省基础数据录入工作；
     2、完成基础数据交安，涵洞，房建，绿化原型设计；
</t>
    </r>
    <r>
      <rPr>
        <b/>
        <sz val="11"/>
        <color rgb="FFFF0000"/>
        <rFont val="等线"/>
        <charset val="134"/>
      </rPr>
      <t>9月底：</t>
    </r>
    <r>
      <rPr>
        <sz val="11"/>
        <color rgb="FF000000"/>
        <rFont val="等线"/>
        <charset val="134"/>
      </rPr>
      <t xml:space="preserve">大运营根据新基础数据要求完成对应完成基础数据路基，路面，隧道，桥梁的开发、上线。
</t>
    </r>
    <r>
      <rPr>
        <b/>
        <sz val="11"/>
        <color rgb="FFFF0000"/>
        <rFont val="等线"/>
        <charset val="134"/>
      </rPr>
      <t>12月底：</t>
    </r>
    <r>
      <rPr>
        <sz val="11"/>
        <color rgb="FF000000"/>
        <rFont val="等线"/>
        <charset val="134"/>
      </rPr>
      <t>大运营根据新基础数据要求完成对应完成基础数据交安，涵洞，房建，绿化的开发、上线；</t>
    </r>
  </si>
  <si>
    <r>
      <rPr>
        <b/>
        <sz val="11"/>
        <color rgb="FFFF0000"/>
        <rFont val="等线"/>
        <charset val="134"/>
      </rPr>
      <t>3月底：</t>
    </r>
    <r>
      <rPr>
        <sz val="11"/>
        <color rgb="FF000000"/>
        <rFont val="等线"/>
        <charset val="134"/>
      </rPr>
      <t xml:space="preserve">机电自养完成需求调研（机电事业部、机电分公司）
</t>
    </r>
    <r>
      <rPr>
        <b/>
        <sz val="11"/>
        <color rgb="FFFF0000"/>
        <rFont val="等线"/>
        <charset val="134"/>
      </rPr>
      <t>4月底：</t>
    </r>
    <r>
      <rPr>
        <sz val="11"/>
        <color rgb="FF000000"/>
        <rFont val="等线"/>
        <charset val="134"/>
      </rPr>
      <t xml:space="preserve">完成机电建设，日常养护，设备接入流程设计，包括计量，验收环节，检查签字，向安运部汇报，纳入集团管理制度。
</t>
    </r>
    <r>
      <rPr>
        <b/>
        <sz val="11"/>
        <color rgb="FFFF0000"/>
        <rFont val="等线"/>
        <charset val="134"/>
      </rPr>
      <t>5月底：</t>
    </r>
    <r>
      <rPr>
        <sz val="11"/>
        <color rgb="FF000000"/>
        <rFont val="等线"/>
        <charset val="134"/>
      </rPr>
      <t xml:space="preserve">完成机电业务需求设计
</t>
    </r>
    <r>
      <rPr>
        <b/>
        <sz val="11"/>
        <color rgb="FFFF0000"/>
        <rFont val="等线"/>
        <charset val="134"/>
      </rPr>
      <t>8月底：</t>
    </r>
    <r>
      <rPr>
        <sz val="11"/>
        <color rgb="FF000000"/>
        <rFont val="等线"/>
        <charset val="134"/>
      </rPr>
      <t>完成机电业务开发</t>
    </r>
  </si>
  <si>
    <r>
      <rPr>
        <b/>
        <sz val="11"/>
        <color rgb="FFFF0000"/>
        <rFont val="等线"/>
        <charset val="134"/>
      </rPr>
      <t>1月底：</t>
    </r>
    <r>
      <rPr>
        <sz val="11"/>
        <color rgb="FF000000"/>
        <rFont val="等线"/>
        <charset val="134"/>
      </rPr>
      <t xml:space="preserve">完成三个视角看板开发工作
</t>
    </r>
    <r>
      <rPr>
        <b/>
        <sz val="11"/>
        <color rgb="FFFF0000"/>
        <rFont val="等线"/>
        <charset val="134"/>
      </rPr>
      <t>3月底：</t>
    </r>
    <r>
      <rPr>
        <sz val="11"/>
        <color rgb="FF000000"/>
        <rFont val="等线"/>
        <charset val="134"/>
      </rPr>
      <t xml:space="preserve">完成新驾驶舱的开发上线，作为统一入口（统一门户及登录后跳转到新的驾驶舱首页）
</t>
    </r>
    <r>
      <rPr>
        <b/>
        <sz val="11"/>
        <color rgb="FFFF0000"/>
        <rFont val="等线"/>
        <charset val="134"/>
      </rPr>
      <t>4月底：</t>
    </r>
    <r>
      <rPr>
        <sz val="11"/>
        <color rgb="FF000000"/>
        <rFont val="等线"/>
        <charset val="134"/>
      </rPr>
      <t xml:space="preserve">流程看板完成需求、设计。
</t>
    </r>
    <r>
      <rPr>
        <b/>
        <sz val="11"/>
        <color rgb="FFFF0000"/>
        <rFont val="等线"/>
        <charset val="134"/>
      </rPr>
      <t>5月底：</t>
    </r>
    <r>
      <rPr>
        <sz val="11"/>
        <color rgb="FF000000"/>
        <rFont val="等线"/>
        <charset val="134"/>
      </rPr>
      <t xml:space="preserve">完成流程看板开发上线。
</t>
    </r>
    <r>
      <rPr>
        <b/>
        <sz val="11"/>
        <color rgb="FFFF0000"/>
        <rFont val="等线"/>
        <charset val="134"/>
      </rPr>
      <t>6月底：</t>
    </r>
    <r>
      <rPr>
        <sz val="11"/>
        <color rgb="FF000000"/>
        <rFont val="等线"/>
        <charset val="134"/>
      </rPr>
      <t xml:space="preserve">完成看板优化设计
</t>
    </r>
    <r>
      <rPr>
        <b/>
        <sz val="11"/>
        <color rgb="FFFF0000"/>
        <rFont val="等线"/>
        <charset val="134"/>
      </rPr>
      <t>8月底：</t>
    </r>
    <r>
      <rPr>
        <sz val="11"/>
        <color rgb="FF000000"/>
        <rFont val="等线"/>
        <charset val="134"/>
      </rPr>
      <t>完成看板优化</t>
    </r>
  </si>
  <si>
    <r>
      <rPr>
        <b/>
        <sz val="11"/>
        <color rgb="FFFF0000"/>
        <rFont val="等线"/>
        <charset val="134"/>
      </rPr>
      <t>6月底：</t>
    </r>
    <r>
      <rPr>
        <sz val="11"/>
        <color rgb="FF000000"/>
        <rFont val="等线"/>
        <charset val="134"/>
      </rPr>
      <t xml:space="preserve">完成病害精细化管理需求设计。
</t>
    </r>
    <r>
      <rPr>
        <b/>
        <sz val="11"/>
        <color rgb="FFFF0000"/>
        <rFont val="等线"/>
        <charset val="134"/>
      </rPr>
      <t>8月底：</t>
    </r>
    <r>
      <rPr>
        <sz val="11"/>
        <color rgb="FF000000"/>
        <rFont val="等线"/>
        <charset val="134"/>
      </rPr>
      <t>完成病害精细化管理开发、上线。</t>
    </r>
  </si>
  <si>
    <r>
      <rPr>
        <b/>
        <sz val="11"/>
        <color rgb="FFFF0000"/>
        <rFont val="等线"/>
        <charset val="134"/>
      </rPr>
      <t>8月底：</t>
    </r>
    <r>
      <rPr>
        <sz val="11"/>
        <color rgb="FF000000"/>
        <rFont val="等线"/>
        <charset val="134"/>
      </rPr>
      <t>完成施工许可申报系统对接</t>
    </r>
  </si>
  <si>
    <r>
      <rPr>
        <b/>
        <sz val="11"/>
        <color rgb="FFFF0000"/>
        <rFont val="等线"/>
        <charset val="134"/>
      </rPr>
      <t>12月底：</t>
    </r>
    <r>
      <rPr>
        <sz val="11"/>
        <color rgb="FF000000"/>
        <rFont val="等线"/>
        <charset val="134"/>
      </rPr>
      <t>完成应急资源系统与内部商城系统对接</t>
    </r>
  </si>
  <si>
    <r>
      <rPr>
        <b/>
        <sz val="11"/>
        <color rgb="FFFF0000"/>
        <rFont val="等线"/>
        <charset val="134"/>
      </rPr>
      <t>9月底：</t>
    </r>
    <r>
      <rPr>
        <sz val="11"/>
        <color rgb="FF000000"/>
        <rFont val="等线"/>
        <charset val="134"/>
      </rPr>
      <t>完成视频国标平台与抗冰除雪系统对接</t>
    </r>
  </si>
  <si>
    <r>
      <rPr>
        <b/>
        <sz val="11"/>
        <color rgb="FFFF0000"/>
        <rFont val="等线"/>
        <charset val="134"/>
      </rPr>
      <t>12月底：</t>
    </r>
    <r>
      <rPr>
        <sz val="11"/>
        <color rgb="FF000000"/>
        <rFont val="等线"/>
        <charset val="134"/>
      </rPr>
      <t>完成集团采购平台对接</t>
    </r>
  </si>
  <si>
    <r>
      <rPr>
        <b/>
        <sz val="11"/>
        <color rgb="FFFF0000"/>
        <rFont val="等线"/>
        <charset val="134"/>
      </rPr>
      <t>4月底：</t>
    </r>
    <r>
      <rPr>
        <sz val="11"/>
        <color rgb="FF000000"/>
        <rFont val="等线"/>
        <charset val="134"/>
      </rPr>
      <t xml:space="preserve">完成物联网设备接入流程设计、开发（全省）
</t>
    </r>
    <r>
      <rPr>
        <b/>
        <sz val="11"/>
        <color rgb="FFFF0000"/>
        <rFont val="等线"/>
        <charset val="134"/>
      </rPr>
      <t>5月底：</t>
    </r>
    <r>
      <rPr>
        <sz val="11"/>
        <color rgb="FF000000"/>
        <rFont val="等线"/>
        <charset val="134"/>
      </rPr>
      <t xml:space="preserve">完成需要对接内容清单梳理，出具对接计划。机电设备智能运维首页评价指标定义、展示。
</t>
    </r>
    <r>
      <rPr>
        <b/>
        <sz val="11"/>
        <color rgb="FFFF0000"/>
        <rFont val="等线"/>
        <charset val="134"/>
      </rPr>
      <t>12月底：</t>
    </r>
    <r>
      <rPr>
        <sz val="11"/>
        <color rgb="FF000000"/>
        <rFont val="等线"/>
        <charset val="134"/>
      </rPr>
      <t>完成存量数据接入、转换</t>
    </r>
  </si>
  <si>
    <r>
      <rPr>
        <b/>
        <sz val="11"/>
        <color rgb="FFFF0000"/>
        <rFont val="等线"/>
        <charset val="134"/>
      </rPr>
      <t>4月底：</t>
    </r>
    <r>
      <rPr>
        <sz val="11"/>
        <color rgb="FF000000"/>
        <rFont val="等线"/>
        <charset val="134"/>
      </rPr>
      <t xml:space="preserve">
完成病害识别整体技术方案。（上传质量识别，自动识别病害相关信息）；
方博协调提供路面巡检识别算法（已提供）</t>
    </r>
  </si>
  <si>
    <r>
      <rPr>
        <b/>
        <sz val="11"/>
        <color rgb="FFFF0000"/>
        <rFont val="等线"/>
        <charset val="134"/>
      </rPr>
      <t>6月底：</t>
    </r>
    <r>
      <rPr>
        <sz val="11"/>
        <color rgb="FF000000"/>
        <rFont val="等线"/>
        <charset val="134"/>
      </rPr>
      <t xml:space="preserve">完成需求调研、设计
</t>
    </r>
    <r>
      <rPr>
        <b/>
        <sz val="11"/>
        <color rgb="FFFF0000"/>
        <rFont val="等线"/>
        <charset val="134"/>
      </rPr>
      <t>10月底：</t>
    </r>
    <r>
      <rPr>
        <sz val="11"/>
        <color rgb="FF000000"/>
        <rFont val="等线"/>
        <charset val="134"/>
      </rPr>
      <t>完成需求开发</t>
    </r>
  </si>
  <si>
    <r>
      <rPr>
        <b/>
        <sz val="11"/>
        <color rgb="FFFF0000"/>
        <rFont val="等线"/>
        <charset val="134"/>
      </rPr>
      <t>6月底：</t>
    </r>
    <r>
      <rPr>
        <sz val="11"/>
        <color rgb="FF000000"/>
        <rFont val="等线"/>
        <charset val="134"/>
      </rPr>
      <t xml:space="preserve">完成需求调研、需求设计（目前业主暂无需求）
</t>
    </r>
    <r>
      <rPr>
        <b/>
        <sz val="11"/>
        <color rgb="FFFF0000"/>
        <rFont val="等线"/>
        <charset val="134"/>
      </rPr>
      <t>8月底：</t>
    </r>
    <r>
      <rPr>
        <sz val="11"/>
        <color rgb="FF000000"/>
        <rFont val="等线"/>
        <charset val="134"/>
      </rPr>
      <t>完成开发</t>
    </r>
  </si>
  <si>
    <r>
      <rPr>
        <b/>
        <sz val="11"/>
        <color rgb="FFFF0000"/>
        <rFont val="等线"/>
        <charset val="134"/>
      </rPr>
      <t>3月底：</t>
    </r>
    <r>
      <rPr>
        <sz val="11"/>
        <color rgb="FF000000"/>
        <rFont val="等线"/>
        <charset val="134"/>
      </rPr>
      <t xml:space="preserve">完成所有桥隧（设施基础数据卡片，位置信息，定检报告，实时监测数据，历史养护数据）、边坡数据（设施基础数据卡片，位置信息，定检报告，实时监测数据，历史养护数据）接入。桥隧、边坡至少完成一个试点。（实现历史养护数据穿透、查看）
</t>
    </r>
    <r>
      <rPr>
        <b/>
        <sz val="11"/>
        <color rgb="FFFF0000"/>
        <rFont val="等线"/>
        <charset val="134"/>
      </rPr>
      <t>4月底：</t>
    </r>
    <r>
      <rPr>
        <sz val="11"/>
        <color rgb="FF000000"/>
        <rFont val="等线"/>
        <charset val="134"/>
      </rPr>
      <t xml:space="preserve">完成全部桥隧、边坡数据接入。（依赖运营平台基础数据，经纬度）
</t>
    </r>
    <r>
      <rPr>
        <b/>
        <sz val="11"/>
        <color rgb="FFFF0000"/>
        <rFont val="等线"/>
        <charset val="134"/>
      </rPr>
      <t>10月底：</t>
    </r>
    <r>
      <rPr>
        <sz val="11"/>
        <color rgb="FF000000"/>
        <rFont val="等线"/>
        <charset val="134"/>
      </rPr>
      <t>完成普通公路的结构物在省级平台的接入。</t>
    </r>
  </si>
  <si>
    <r>
      <rPr>
        <b/>
        <sz val="11"/>
        <color rgb="FFFF0000"/>
        <rFont val="等线"/>
        <charset val="134"/>
      </rPr>
      <t>1月底</t>
    </r>
    <r>
      <rPr>
        <sz val="11"/>
        <color rgb="FF000000"/>
        <rFont val="等线"/>
        <charset val="134"/>
      </rPr>
      <t>：
      1、完成平台的初步开发
      2、完成64座桥的结构化数据录入
时间待补充：完成93做桥梁的结构化数据录入
4月底：
      1、完成100座桥梁的BIM建模；
      2、完成系统初验材料准备和系统初验</t>
    </r>
  </si>
  <si>
    <r>
      <rPr>
        <b/>
        <sz val="11"/>
        <color rgb="FFFF0000"/>
        <rFont val="等线"/>
        <charset val="134"/>
      </rPr>
      <t>1月11日：</t>
    </r>
    <r>
      <rPr>
        <sz val="11"/>
        <color rgb="FF000000"/>
        <rFont val="等线"/>
        <charset val="134"/>
      </rPr>
      <t>已完成招采工作
完成硬件实施方案设计
1月底：完成外场设备安装部署（机电负责）
持续推动：完成系统接入设备（数字部负责，根据机电外场进度完成接入）
4月底：
      1、企标完成专家评审；（存在风险）
      2、完成系统初验材料准备和系统初验。</t>
    </r>
  </si>
  <si>
    <r>
      <rPr>
        <b/>
        <sz val="11"/>
        <color rgb="FFFF0000"/>
        <rFont val="等线"/>
        <charset val="134"/>
      </rPr>
      <t>2月2日：</t>
    </r>
    <r>
      <rPr>
        <sz val="11"/>
        <color rgb="FF000000"/>
        <rFont val="等线"/>
        <charset val="134"/>
      </rPr>
      <t xml:space="preserve">
       完成雪峰山问题整改。
</t>
    </r>
    <r>
      <rPr>
        <b/>
        <sz val="11"/>
        <color rgb="FFFF0000"/>
        <rFont val="等线"/>
        <charset val="134"/>
      </rPr>
      <t>2月9日：</t>
    </r>
    <r>
      <rPr>
        <sz val="11"/>
        <color rgb="FF000000"/>
        <rFont val="等线"/>
        <charset val="134"/>
      </rPr>
      <t xml:space="preserve">
       1、完成雪峰山隧道和大湾隧道群之间的联动开发、发版；
       2、配合感动科技完成路网应急对隧道的管控开发、发版。
6月底：完成产品设计
9月底：完成开发
11月底：完成试点</t>
    </r>
  </si>
  <si>
    <r>
      <rPr>
        <b/>
        <sz val="11"/>
        <color rgb="FFFF0000"/>
        <rFont val="微软雅黑"/>
        <family val="2"/>
        <charset val="134"/>
      </rPr>
      <t>1月底：</t>
    </r>
    <r>
      <rPr>
        <sz val="11"/>
        <color rgb="FF000000"/>
        <rFont val="微软雅黑"/>
        <family val="2"/>
        <charset val="134"/>
      </rPr>
      <t xml:space="preserve">完成招聘需求上报
</t>
    </r>
    <r>
      <rPr>
        <b/>
        <sz val="11"/>
        <color rgb="FFFF0000"/>
        <rFont val="微软雅黑"/>
        <family val="2"/>
        <charset val="134"/>
      </rPr>
      <t>5月底：</t>
    </r>
    <r>
      <rPr>
        <sz val="11"/>
        <color rgb="FF000000"/>
        <rFont val="微软雅黑"/>
        <family val="2"/>
        <charset val="134"/>
      </rPr>
      <t>基本完成人员招聘</t>
    </r>
  </si>
  <si>
    <r>
      <rPr>
        <b/>
        <sz val="11"/>
        <color rgb="FFFF0000"/>
        <rFont val="等线"/>
        <charset val="134"/>
      </rPr>
      <t>1月底：</t>
    </r>
    <r>
      <rPr>
        <sz val="11"/>
        <color rgb="FF000000"/>
        <rFont val="等线"/>
        <charset val="134"/>
      </rPr>
      <t xml:space="preserve">完成14套设备到货，在益阳分公司安装2套，平台关键功能模块完成开发 ，全业务流程打通，具备试用条件。
</t>
    </r>
    <r>
      <rPr>
        <b/>
        <sz val="11"/>
        <color rgb="FFFF0000"/>
        <rFont val="等线"/>
        <charset val="134"/>
      </rPr>
      <t>2月底：</t>
    </r>
    <r>
      <rPr>
        <sz val="11"/>
        <color rgb="FF000000"/>
        <rFont val="等线"/>
        <charset val="134"/>
      </rPr>
      <t xml:space="preserve">完成现有功能细节优化，存储迁移等相关数据集成工作。
</t>
    </r>
    <r>
      <rPr>
        <b/>
        <sz val="11"/>
        <color rgb="FFFF0000"/>
        <rFont val="等线"/>
        <charset val="134"/>
      </rPr>
      <t>3月底：</t>
    </r>
    <r>
      <rPr>
        <sz val="11"/>
        <color rgb="FF000000"/>
        <rFont val="等线"/>
        <charset val="134"/>
      </rPr>
      <t>完成平台所有功能开发，剩余设备部署，数据迁移相关工作。完成备货方案准备
4月底：完成设备到货，启动新、旧设备更换
5月底：完成旧设备更换</t>
    </r>
  </si>
  <si>
    <r>
      <rPr>
        <sz val="12"/>
        <color rgb="FFFF0000"/>
        <rFont val="等线"/>
        <charset val="134"/>
      </rPr>
      <t>5–6月（基础模型）</t>
    </r>
    <r>
      <rPr>
        <sz val="12"/>
        <color rgb="FF000000"/>
        <rFont val="等线"/>
        <charset val="134"/>
      </rPr>
      <t xml:space="preserve">
完成建管养业务全流程梳理
完成建管养业务数字化模型及数据标准体系建设
完成标志：
核心业务流程100%完成系统映射
输出数据流转模型及闭环逻辑模型
发布数据字典（覆盖≥70%核心字段）
明确数据采集、质量及接口标准
</t>
    </r>
    <r>
      <rPr>
        <sz val="12"/>
        <color rgb="FFFF0000"/>
        <rFont val="等线"/>
        <charset val="134"/>
      </rPr>
      <t>7–9月（体系建设）</t>
    </r>
    <r>
      <rPr>
        <sz val="12"/>
        <color rgb="FF000000"/>
        <rFont val="等线"/>
        <charset val="134"/>
      </rPr>
      <t xml:space="preserve">
完善养护数据标准体系
定义质量检测数据模型
推动系统与监测平台打通
验收：
数据标准覆盖率 ≥70%
监测平台接入率 ≥60%
</t>
    </r>
    <r>
      <rPr>
        <sz val="12"/>
        <color rgb="FFFF0000"/>
        <rFont val="等线"/>
        <charset val="134"/>
      </rPr>
      <t>10–12月（闭环与模型固化）</t>
    </r>
    <r>
      <rPr>
        <sz val="12"/>
        <color rgb="FF000000"/>
        <rFont val="等线"/>
        <charset val="134"/>
      </rPr>
      <t xml:space="preserve">
建立缺陷闭环管理机制
输出建管养一体化模型V1.0
完成典型场景试运行
验收：
缺陷闭环率 ≥60%
模型稳定运行
</t>
    </r>
    <r>
      <rPr>
        <sz val="12"/>
        <color rgb="FFFF0000"/>
        <rFont val="等线"/>
        <charset val="134"/>
      </rPr>
      <t>（三）验收标准（年度）</t>
    </r>
    <r>
      <rPr>
        <sz val="12"/>
        <color rgb="FF000000"/>
        <rFont val="等线"/>
        <charset val="134"/>
      </rPr>
      <t xml:space="preserve">
建管养数据标准覆盖率 ≥70%
缺陷闭环率 ≥60%
与监测平台打通率 ≥80%</t>
    </r>
  </si>
  <si>
    <r>
      <rPr>
        <b/>
        <sz val="11"/>
        <color rgb="FFFF0000"/>
        <rFont val="微软雅黑"/>
        <family val="2"/>
        <charset val="134"/>
      </rPr>
      <t>1月底：</t>
    </r>
    <r>
      <rPr>
        <sz val="11"/>
        <color rgb="FF000000"/>
        <rFont val="微软雅黑"/>
        <family val="2"/>
        <charset val="134"/>
      </rPr>
      <t>完成数字底座实施情况梳理，明确高风险点，提交解决方案，涉及项目验收的，组织项目负责人完成整改；涉及信息中心的，报告信息中心解决</t>
    </r>
  </si>
  <si>
    <r>
      <rPr>
        <b/>
        <sz val="11"/>
        <color rgb="FF000000"/>
        <rFont val="等线"/>
        <charset val="134"/>
      </rPr>
      <t>徐椿乔</t>
    </r>
    <r>
      <rPr>
        <b/>
        <sz val="11"/>
        <color rgb="FF000000"/>
        <rFont val="等线"/>
        <charset val="134"/>
      </rPr>
      <t xml:space="preserve">
胡彬</t>
    </r>
  </si>
  <si>
    <r>
      <rPr>
        <b/>
        <sz val="11"/>
        <color rgb="FFFF0000"/>
        <rFont val="等线"/>
        <charset val="134"/>
      </rPr>
      <t>3月底：</t>
    </r>
    <r>
      <rPr>
        <sz val="11"/>
        <color rgb="FF000000"/>
        <rFont val="等线"/>
        <charset val="134"/>
      </rPr>
      <t xml:space="preserve">方案设计
4月底：发起业务评审
</t>
    </r>
    <r>
      <rPr>
        <b/>
        <sz val="11"/>
        <color rgb="FFFF0000"/>
        <rFont val="等线"/>
        <charset val="134"/>
      </rPr>
      <t>5月底：</t>
    </r>
    <r>
      <rPr>
        <sz val="11"/>
        <color rgb="FF000000"/>
        <rFont val="等线"/>
        <charset val="134"/>
      </rPr>
      <t xml:space="preserve">开发完成、上线、
</t>
    </r>
    <r>
      <rPr>
        <b/>
        <sz val="11"/>
        <color rgb="FFFF0000"/>
        <rFont val="等线"/>
        <charset val="134"/>
      </rPr>
      <t>6月：试点</t>
    </r>
    <r>
      <rPr>
        <b/>
        <sz val="11"/>
        <color rgb="FFFF0000"/>
        <rFont val="等线"/>
        <charset val="134"/>
      </rPr>
      <t xml:space="preserve">
7月：</t>
    </r>
    <r>
      <rPr>
        <sz val="11"/>
        <color rgb="FF000000"/>
        <rFont val="等线"/>
        <charset val="134"/>
      </rPr>
      <t>全面推广</t>
    </r>
  </si>
  <si>
    <r>
      <rPr>
        <b/>
        <sz val="11"/>
        <color rgb="FFFF0000"/>
        <rFont val="等线"/>
        <charset val="134"/>
      </rPr>
      <t>3月中旬：</t>
    </r>
    <r>
      <rPr>
        <sz val="11"/>
        <color rgb="FF000000"/>
        <rFont val="等线"/>
        <charset val="134"/>
      </rPr>
      <t xml:space="preserve">方案确认、完成项目计划编制
</t>
    </r>
    <r>
      <rPr>
        <b/>
        <sz val="11"/>
        <color rgb="FFFF0000"/>
        <rFont val="等线"/>
        <charset val="134"/>
      </rPr>
      <t>4月底：</t>
    </r>
    <r>
      <rPr>
        <sz val="11"/>
        <color rgb="FF000000"/>
        <rFont val="等线"/>
        <charset val="134"/>
      </rPr>
      <t>完成纸改电上线</t>
    </r>
  </si>
  <si>
    <r>
      <rPr>
        <b/>
        <sz val="11"/>
        <color rgb="FFFF0000"/>
        <rFont val="等线"/>
        <charset val="134"/>
      </rPr>
      <t>1月底：</t>
    </r>
    <r>
      <rPr>
        <sz val="11"/>
        <color rgb="FF000000"/>
        <rFont val="等线"/>
        <charset val="134"/>
      </rPr>
      <t xml:space="preserve">完成需求调研和确认
</t>
    </r>
    <r>
      <rPr>
        <b/>
        <sz val="11"/>
        <color rgb="FFFF0000"/>
        <rFont val="等线"/>
        <charset val="134"/>
      </rPr>
      <t>4月中旬：</t>
    </r>
    <r>
      <rPr>
        <sz val="11"/>
        <color rgb="FF000000"/>
        <rFont val="等线"/>
        <charset val="134"/>
      </rPr>
      <t xml:space="preserve">完成项目开发和测试
</t>
    </r>
    <r>
      <rPr>
        <b/>
        <sz val="11"/>
        <color rgb="FFFF0000"/>
        <rFont val="等线"/>
        <charset val="134"/>
      </rPr>
      <t>4月底：</t>
    </r>
    <r>
      <rPr>
        <sz val="11"/>
        <color rgb="FF000000"/>
        <rFont val="等线"/>
        <charset val="134"/>
      </rPr>
      <t>完成项目上线</t>
    </r>
  </si>
  <si>
    <r>
      <rPr>
        <b/>
        <sz val="11"/>
        <color rgb="FFFF0000"/>
        <rFont val="等线"/>
        <charset val="134"/>
      </rPr>
      <t>1月底：</t>
    </r>
    <r>
      <rPr>
        <sz val="11"/>
        <color rgb="FF000000"/>
        <rFont val="等线"/>
        <charset val="134"/>
      </rPr>
      <t xml:space="preserve">完成需求调研和确认
</t>
    </r>
    <r>
      <rPr>
        <b/>
        <sz val="11"/>
        <color rgb="FFFF0000"/>
        <rFont val="等线"/>
        <charset val="134"/>
      </rPr>
      <t>3月6日：</t>
    </r>
    <r>
      <rPr>
        <sz val="11"/>
        <color rgb="FF000000"/>
        <rFont val="等线"/>
        <charset val="134"/>
      </rPr>
      <t>完成项目开发、测试、上线</t>
    </r>
  </si>
  <si>
    <r>
      <rPr>
        <b/>
        <sz val="11"/>
        <color rgb="FFFF0000"/>
        <rFont val="等线"/>
        <charset val="134"/>
      </rPr>
      <t>1月底：</t>
    </r>
    <r>
      <rPr>
        <sz val="11"/>
        <color rgb="FF000000"/>
        <rFont val="等线"/>
        <charset val="134"/>
      </rPr>
      <t xml:space="preserve">完成第一批设备上线（已完成）
</t>
    </r>
    <r>
      <rPr>
        <b/>
        <sz val="11"/>
        <color rgb="FFFF0000"/>
        <rFont val="等线"/>
        <charset val="134"/>
      </rPr>
      <t>2月中旬：</t>
    </r>
    <r>
      <rPr>
        <sz val="11"/>
        <color rgb="FF000000"/>
        <rFont val="等线"/>
        <charset val="134"/>
      </rPr>
      <t xml:space="preserve">
       1、完成第二批设备上线
       2、绿通信用查验管理办法
</t>
    </r>
    <r>
      <rPr>
        <b/>
        <sz val="11"/>
        <color rgb="FFFF0000"/>
        <rFont val="等线"/>
        <charset val="134"/>
      </rPr>
      <t>3月底：</t>
    </r>
    <r>
      <rPr>
        <b/>
        <sz val="11"/>
        <color rgb="FF000000"/>
        <rFont val="等线"/>
        <charset val="134"/>
      </rPr>
      <t xml:space="preserve">
       1、</t>
    </r>
    <r>
      <rPr>
        <sz val="11"/>
        <color rgb="FF000000"/>
        <rFont val="等线"/>
        <charset val="134"/>
      </rPr>
      <t xml:space="preserve">完成海关查验系统上线，并试运行（存在问题）
       2、完成服务区绿通前置查验系统上线，并试运行；（确定时间后再调整）
</t>
    </r>
  </si>
  <si>
    <r>
      <rPr>
        <b/>
        <sz val="11"/>
        <color rgb="FF000000"/>
        <rFont val="等线"/>
        <charset val="134"/>
      </rPr>
      <t xml:space="preserve">
       1、</t>
    </r>
    <r>
      <rPr>
        <sz val="11"/>
        <color rgb="FF000000"/>
        <rFont val="等线"/>
        <charset val="134"/>
      </rPr>
      <t xml:space="preserve">推进海关查验系统上线，并试运行
       2、推进服务区绿通前置查验系统上线，并试运行；
</t>
    </r>
  </si>
  <si>
    <r>
      <rPr>
        <b/>
        <sz val="11"/>
        <color rgb="FFFF0000"/>
        <rFont val="等线"/>
        <charset val="134"/>
      </rPr>
      <t>1月底：</t>
    </r>
    <r>
      <rPr>
        <sz val="11"/>
        <color rgb="FF000000"/>
        <rFont val="等线"/>
        <charset val="134"/>
      </rPr>
      <t>完成杨嘉桥轻量化云站系统改造
2月底：
      1、完成人员配备表编制
      2、完成实施手册、应急预案手册、QA文件编制</t>
    </r>
  </si>
  <si>
    <r>
      <rPr>
        <b/>
        <sz val="11"/>
        <color rgb="FFFF0000"/>
        <rFont val="等线"/>
        <charset val="134"/>
      </rPr>
      <t>2月中旬：双天线</t>
    </r>
    <r>
      <rPr>
        <sz val="11"/>
        <color rgb="FF000000"/>
        <rFont val="等线"/>
        <charset val="134"/>
      </rPr>
      <t>完成需求试点
3月底：交易流程优化上线
4月底：双介质交易流程完成优化</t>
    </r>
  </si>
  <si>
    <r>
      <rPr>
        <b/>
        <sz val="11"/>
        <color rgb="FFFF0000"/>
        <rFont val="等线"/>
        <charset val="134"/>
      </rPr>
      <t>2月底：</t>
    </r>
    <r>
      <rPr>
        <sz val="11"/>
        <color rgb="FF000000"/>
        <rFont val="等线"/>
        <charset val="134"/>
      </rPr>
      <t xml:space="preserve">完成对接系统梳理
</t>
    </r>
    <r>
      <rPr>
        <b/>
        <sz val="11"/>
        <color rgb="FFFF0000"/>
        <rFont val="等线"/>
        <charset val="134"/>
      </rPr>
      <t>3月底：</t>
    </r>
    <r>
      <rPr>
        <sz val="11"/>
        <color rgb="FF000000"/>
        <rFont val="等线"/>
        <charset val="134"/>
      </rPr>
      <t>完成对接（云站）</t>
    </r>
  </si>
  <si>
    <r>
      <rPr>
        <b/>
        <sz val="11"/>
        <color rgb="FFFF0000"/>
        <rFont val="等线"/>
        <charset val="134"/>
      </rPr>
      <t>2月6日：</t>
    </r>
    <r>
      <rPr>
        <sz val="11"/>
        <color rgb="FF000000"/>
        <rFont val="等线"/>
        <charset val="134"/>
      </rPr>
      <t xml:space="preserve">完成对华软机器人改造需求确认及商务报价
</t>
    </r>
    <r>
      <rPr>
        <b/>
        <sz val="11"/>
        <color rgb="FFFF0000"/>
        <rFont val="等线"/>
        <charset val="134"/>
      </rPr>
      <t>3月底：</t>
    </r>
    <r>
      <rPr>
        <sz val="11"/>
        <color rgb="FF000000"/>
        <rFont val="等线"/>
        <charset val="134"/>
      </rPr>
      <t xml:space="preserve">完成方案设计
</t>
    </r>
    <r>
      <rPr>
        <b/>
        <sz val="11"/>
        <color rgb="FFFF0000"/>
        <rFont val="等线"/>
        <charset val="134"/>
      </rPr>
      <t>4月底：</t>
    </r>
    <r>
      <rPr>
        <sz val="11"/>
        <color rgb="FF000000"/>
        <rFont val="等线"/>
        <charset val="134"/>
      </rPr>
      <t xml:space="preserve">完成招采，完成实施方案
</t>
    </r>
    <r>
      <rPr>
        <b/>
        <sz val="11"/>
        <color rgb="FFFF0000"/>
        <rFont val="等线"/>
        <charset val="134"/>
      </rPr>
      <t>6月底：</t>
    </r>
    <r>
      <rPr>
        <sz val="11"/>
        <color rgb="FF000000"/>
        <rFont val="等线"/>
        <charset val="134"/>
      </rPr>
      <t>完成软件开发、试点（娄底试点）</t>
    </r>
  </si>
  <si>
    <r>
      <rPr>
        <b/>
        <sz val="11"/>
        <color rgb="FFFF0000"/>
        <rFont val="等线"/>
        <charset val="134"/>
      </rPr>
      <t>5月底：</t>
    </r>
    <r>
      <rPr>
        <sz val="11"/>
        <color rgb="FF000000"/>
        <rFont val="等线"/>
        <charset val="134"/>
      </rPr>
      <t>完成云站旗舰版定版</t>
    </r>
  </si>
  <si>
    <r>
      <rPr>
        <sz val="11"/>
        <color rgb="FF000000"/>
        <rFont val="等线"/>
        <charset val="134"/>
      </rPr>
      <t xml:space="preserve">2月14日：所有云站出具容灾演练报告，客观条件不具备的站点给运营单位发告知函（机电的发工作联系单）；
</t>
    </r>
    <r>
      <rPr>
        <b/>
        <sz val="11"/>
        <color rgb="FFFF0000"/>
        <rFont val="等线"/>
        <charset val="134"/>
      </rPr>
      <t>3月底：</t>
    </r>
    <r>
      <rPr>
        <sz val="11"/>
        <color rgb="FF000000"/>
        <rFont val="等线"/>
        <charset val="134"/>
      </rPr>
      <t>石鼓完成车道降级部署试点
4月底：韶山、星沙完成车道降级部署</t>
    </r>
  </si>
  <si>
    <r>
      <rPr>
        <b/>
        <sz val="11"/>
        <color rgb="FFFF0000"/>
        <rFont val="等线"/>
        <charset val="134"/>
      </rPr>
      <t>1月底：</t>
    </r>
    <r>
      <rPr>
        <sz val="11"/>
        <color rgb="FF000000"/>
        <rFont val="等线"/>
        <charset val="134"/>
      </rPr>
      <t xml:space="preserve">确定招采设备清单，
</t>
    </r>
    <r>
      <rPr>
        <b/>
        <sz val="11"/>
        <color rgb="FFFF0000"/>
        <rFont val="等线"/>
        <charset val="134"/>
      </rPr>
      <t>2月底：</t>
    </r>
    <r>
      <rPr>
        <sz val="11"/>
        <color rgb="FF000000"/>
        <rFont val="等线"/>
        <charset val="134"/>
      </rPr>
      <t xml:space="preserve">完成材料准备、上会
</t>
    </r>
    <r>
      <rPr>
        <b/>
        <sz val="11"/>
        <color rgb="FFFF0000"/>
        <rFont val="等线"/>
        <charset val="134"/>
      </rPr>
      <t>3月底：</t>
    </r>
    <r>
      <rPr>
        <sz val="11"/>
        <color rgb="FF000000"/>
        <rFont val="等线"/>
        <charset val="134"/>
      </rPr>
      <t>启动招采流程、完成招采、签订合同。</t>
    </r>
  </si>
  <si>
    <r>
      <rPr>
        <b/>
        <sz val="11"/>
        <color rgb="FFFF0000"/>
        <rFont val="微软雅黑"/>
        <family val="2"/>
        <charset val="134"/>
      </rPr>
      <t>6月：</t>
    </r>
    <r>
      <rPr>
        <sz val="11"/>
        <color rgb="FF000000"/>
        <rFont val="微软雅黑"/>
        <family val="2"/>
        <charset val="134"/>
      </rPr>
      <t xml:space="preserve">完成系统部署上线
</t>
    </r>
    <r>
      <rPr>
        <b/>
        <sz val="11"/>
        <color rgb="FFFF0000"/>
        <rFont val="微软雅黑"/>
        <family val="2"/>
        <charset val="134"/>
      </rPr>
      <t>9月：</t>
    </r>
    <r>
      <rPr>
        <sz val="11"/>
        <color rgb="FF000000"/>
        <rFont val="微软雅黑"/>
        <family val="2"/>
        <charset val="134"/>
      </rPr>
      <t xml:space="preserve">完成交工验收
</t>
    </r>
    <r>
      <rPr>
        <b/>
        <sz val="11"/>
        <color rgb="FFFF0000"/>
        <rFont val="微软雅黑"/>
        <family val="2"/>
        <charset val="134"/>
      </rPr>
      <t>12月：</t>
    </r>
    <r>
      <rPr>
        <sz val="11"/>
        <color rgb="FF000000"/>
        <rFont val="微软雅黑"/>
        <family val="2"/>
        <charset val="134"/>
      </rPr>
      <t>完成全部收入及支出计量</t>
    </r>
  </si>
  <si>
    <r>
      <rPr>
        <b/>
        <sz val="11"/>
        <color rgb="FFFF0000"/>
        <rFont val="微软雅黑"/>
        <family val="2"/>
        <charset val="134"/>
      </rPr>
      <t>1月底：</t>
    </r>
    <r>
      <rPr>
        <sz val="11"/>
        <color rgb="FF000000"/>
        <rFont val="微软雅黑"/>
        <family val="2"/>
        <charset val="134"/>
      </rPr>
      <t xml:space="preserve">完成设备到货
</t>
    </r>
    <r>
      <rPr>
        <b/>
        <sz val="11"/>
        <color rgb="FFFF0000"/>
        <rFont val="微软雅黑"/>
        <family val="2"/>
        <charset val="134"/>
      </rPr>
      <t>2月6日：</t>
    </r>
    <r>
      <rPr>
        <sz val="11"/>
        <color rgb="FF000000"/>
        <rFont val="微软雅黑"/>
        <family val="2"/>
        <charset val="134"/>
      </rPr>
      <t xml:space="preserve">完成需求设计评审
</t>
    </r>
    <r>
      <rPr>
        <b/>
        <sz val="11"/>
        <color rgb="FFFF0000"/>
        <rFont val="微软雅黑"/>
        <family val="2"/>
        <charset val="134"/>
      </rPr>
      <t>2月底：</t>
    </r>
    <r>
      <rPr>
        <sz val="11"/>
        <color rgb="FF000000"/>
        <rFont val="微软雅黑"/>
        <family val="2"/>
        <charset val="134"/>
      </rPr>
      <t xml:space="preserve">
      1、完成开发、测试阶段文档；
      2、完成设备上架、安装
</t>
    </r>
    <r>
      <rPr>
        <b/>
        <sz val="11"/>
        <color rgb="FFFF0000"/>
        <rFont val="微软雅黑"/>
        <family val="2"/>
        <charset val="134"/>
      </rPr>
      <t>3月：</t>
    </r>
    <r>
      <rPr>
        <sz val="11"/>
        <color rgb="FF000000"/>
        <rFont val="微软雅黑"/>
        <family val="2"/>
        <charset val="134"/>
      </rPr>
      <t>完成需求设计、开发、测试计量</t>
    </r>
  </si>
  <si>
    <r>
      <rPr>
        <b/>
        <sz val="11"/>
        <color rgb="FFFF0000"/>
        <rFont val="微软雅黑"/>
        <family val="2"/>
        <charset val="134"/>
      </rPr>
      <t>2月底：</t>
    </r>
    <r>
      <rPr>
        <sz val="11"/>
        <color rgb="FF000000"/>
        <rFont val="微软雅黑"/>
        <family val="2"/>
        <charset val="134"/>
      </rPr>
      <t>完成计量资料整改</t>
    </r>
  </si>
  <si>
    <r>
      <rPr>
        <b/>
        <sz val="11"/>
        <color rgb="FFFF0000"/>
        <rFont val="等线"/>
        <charset val="134"/>
      </rPr>
      <t>6月底：</t>
    </r>
    <r>
      <rPr>
        <sz val="11"/>
        <color rgb="FF000000"/>
        <rFont val="等线"/>
        <charset val="134"/>
      </rPr>
      <t>完成设备到货并移交至底座</t>
    </r>
  </si>
  <si>
    <r>
      <rPr>
        <b/>
        <sz val="11"/>
        <color rgb="FFFF0000"/>
        <rFont val="等线"/>
        <charset val="134"/>
      </rPr>
      <t>3月底：</t>
    </r>
    <r>
      <rPr>
        <sz val="11"/>
        <color rgb="FF000000"/>
        <rFont val="等线"/>
        <charset val="134"/>
      </rPr>
      <t>完成设备到货
10月底：安装（等待装修完成后再安装）</t>
    </r>
  </si>
  <si>
    <r>
      <rPr>
        <b/>
        <sz val="11"/>
        <color rgb="FFFF0000"/>
        <rFont val="等线"/>
        <charset val="134"/>
      </rPr>
      <t>1月底：</t>
    </r>
    <r>
      <rPr>
        <sz val="11"/>
        <color rgb="FF000000"/>
        <rFont val="等线"/>
        <charset val="134"/>
      </rPr>
      <t xml:space="preserve">完成招采
</t>
    </r>
    <r>
      <rPr>
        <b/>
        <sz val="11"/>
        <color rgb="FFFF0000"/>
        <rFont val="等线"/>
        <charset val="134"/>
      </rPr>
      <t>2月底：</t>
    </r>
    <r>
      <rPr>
        <sz val="11"/>
        <color rgb="FF000000"/>
        <rFont val="等线"/>
        <charset val="134"/>
      </rPr>
      <t xml:space="preserve">
      1、完成G4京港澳高速9台设备勘点，联调，部署，完成试飞。
      2、平台已经完成初步上线
</t>
    </r>
    <r>
      <rPr>
        <b/>
        <sz val="11"/>
        <color rgb="FFFF0000"/>
        <rFont val="等线"/>
        <charset val="134"/>
      </rPr>
      <t>3月底：</t>
    </r>
    <r>
      <rPr>
        <sz val="11"/>
        <color rgb="FF000000"/>
        <rFont val="等线"/>
        <charset val="134"/>
      </rPr>
      <t xml:space="preserve">完成软硬件联调、上线；
4月底：完成与各业务系统对接方案编制；完成无人机算法部署在百度AI平台，由百度AI平台将算法结果推送至路网应急中心。
</t>
    </r>
    <r>
      <rPr>
        <b/>
        <sz val="11"/>
        <color rgb="FFFF0000"/>
        <rFont val="等线"/>
        <charset val="134"/>
      </rPr>
      <t>7月底：</t>
    </r>
    <r>
      <rPr>
        <sz val="11"/>
        <color rgb="FF000000"/>
        <rFont val="等线"/>
        <charset val="134"/>
      </rPr>
      <t>完成路网应急对接。
11月底：完成建管、大运营、干线管控对接</t>
    </r>
  </si>
  <si>
    <r>
      <rPr>
        <b/>
        <sz val="11"/>
        <color rgb="FFFF0000"/>
        <rFont val="等线"/>
        <charset val="134"/>
      </rPr>
      <t>1月底：</t>
    </r>
    <r>
      <rPr>
        <sz val="11"/>
        <color rgb="FF000000"/>
        <rFont val="等线"/>
        <charset val="134"/>
      </rPr>
      <t xml:space="preserve">完成湘潭分公司实施
</t>
    </r>
    <r>
      <rPr>
        <b/>
        <sz val="11"/>
        <color rgb="FFFF0000"/>
        <rFont val="等线"/>
        <charset val="134"/>
      </rPr>
      <t>3月初：</t>
    </r>
    <r>
      <rPr>
        <sz val="11"/>
        <color rgb="FF000000"/>
        <rFont val="等线"/>
        <charset val="134"/>
      </rPr>
      <t xml:space="preserve">完成娄底分公司实施
</t>
    </r>
    <r>
      <rPr>
        <b/>
        <sz val="11"/>
        <color rgb="FFFF0000"/>
        <rFont val="等线"/>
        <charset val="134"/>
      </rPr>
      <t>4月底：</t>
    </r>
    <r>
      <rPr>
        <sz val="11"/>
        <color rgb="FF000000"/>
        <rFont val="等线"/>
        <charset val="134"/>
      </rPr>
      <t xml:space="preserve">完成4个地市分公司实施
</t>
    </r>
    <r>
      <rPr>
        <b/>
        <sz val="11"/>
        <color rgb="FFFF0000"/>
        <rFont val="等线"/>
        <charset val="134"/>
      </rPr>
      <t>6月底：</t>
    </r>
    <r>
      <rPr>
        <sz val="11"/>
        <color rgb="FF000000"/>
        <rFont val="等线"/>
        <charset val="134"/>
      </rPr>
      <t xml:space="preserve">完成4个地市分公司实施
</t>
    </r>
    <r>
      <rPr>
        <b/>
        <sz val="11"/>
        <color rgb="FFFF0000"/>
        <rFont val="等线"/>
        <charset val="134"/>
      </rPr>
      <t>8月底：</t>
    </r>
    <r>
      <rPr>
        <sz val="11"/>
        <color rgb="FF000000"/>
        <rFont val="等线"/>
        <charset val="134"/>
      </rPr>
      <t xml:space="preserve">完成4个地市分公司实施
</t>
    </r>
    <r>
      <rPr>
        <b/>
        <sz val="11"/>
        <color rgb="FFFF0000"/>
        <rFont val="等线"/>
        <charset val="134"/>
      </rPr>
      <t>10月底：</t>
    </r>
    <r>
      <rPr>
        <sz val="11"/>
        <color rgb="FF000000"/>
        <rFont val="等线"/>
        <charset val="134"/>
      </rPr>
      <t xml:space="preserve">完成剩余4个单元实施
</t>
    </r>
    <r>
      <rPr>
        <b/>
        <sz val="11"/>
        <color rgb="FFFF0000"/>
        <rFont val="等线"/>
        <charset val="134"/>
      </rPr>
      <t>11月底：</t>
    </r>
    <r>
      <rPr>
        <sz val="11"/>
        <color rgb="FF000000"/>
        <rFont val="等线"/>
        <charset val="134"/>
      </rPr>
      <t xml:space="preserve">组织交工验收
</t>
    </r>
  </si>
  <si>
    <r>
      <rPr>
        <b/>
        <sz val="11"/>
        <color rgb="FFFF0000"/>
        <rFont val="等线"/>
        <charset val="134"/>
      </rPr>
      <t>4月17日：</t>
    </r>
    <r>
      <rPr>
        <sz val="11"/>
        <color rgb="FF000000"/>
        <rFont val="等线"/>
        <charset val="134"/>
      </rPr>
      <t xml:space="preserve">完成驾驶舱建设；
</t>
    </r>
    <r>
      <rPr>
        <b/>
        <sz val="11"/>
        <color rgb="FFFF0000"/>
        <rFont val="等线"/>
        <charset val="134"/>
      </rPr>
      <t>4月底：</t>
    </r>
    <r>
      <rPr>
        <sz val="11"/>
        <color rgb="FF000000"/>
        <rFont val="等线"/>
        <charset val="134"/>
      </rPr>
      <t xml:space="preserve">核实数智云站及轻量云站对接集中监控情况；
5月底：完成tco数据库改造（由sqlServer调整为mysql）
</t>
    </r>
    <r>
      <rPr>
        <b/>
        <sz val="11"/>
        <color rgb="FFFF0000"/>
        <rFont val="等线"/>
        <charset val="134"/>
      </rPr>
      <t>6月底：</t>
    </r>
    <r>
      <rPr>
        <sz val="11"/>
        <color rgb="FF000000"/>
        <rFont val="等线"/>
        <charset val="134"/>
      </rPr>
      <t xml:space="preserve">完成容器化部署改造
</t>
    </r>
    <r>
      <rPr>
        <b/>
        <sz val="11"/>
        <color rgb="FFFF0000"/>
        <rFont val="等线"/>
        <charset val="134"/>
      </rPr>
      <t>10月底：</t>
    </r>
    <r>
      <rPr>
        <sz val="11"/>
        <color rgb="FF000000"/>
        <rFont val="等线"/>
        <charset val="134"/>
      </rPr>
      <t xml:space="preserve">
    1、完成所有地市视频改造
    2、完成所有地市视频模块替换与视频对接的割接</t>
    </r>
  </si>
  <si>
    <r>
      <rPr>
        <b/>
        <sz val="11"/>
        <color rgb="FFFF0000"/>
        <rFont val="微软雅黑"/>
        <family val="2"/>
        <charset val="134"/>
      </rPr>
      <t>2月底：</t>
    </r>
    <r>
      <rPr>
        <sz val="11"/>
        <color rgb="FF000000"/>
        <rFont val="微软雅黑"/>
        <family val="2"/>
        <charset val="134"/>
      </rPr>
      <t xml:space="preserve">代码熟悉，部署方案编写
</t>
    </r>
    <r>
      <rPr>
        <b/>
        <sz val="11"/>
        <color rgb="FFFF0000"/>
        <rFont val="微软雅黑"/>
        <family val="2"/>
        <charset val="134"/>
      </rPr>
      <t>3月底：</t>
    </r>
    <r>
      <rPr>
        <sz val="11"/>
        <color rgb="FF000000"/>
        <rFont val="微软雅黑"/>
        <family val="2"/>
        <charset val="134"/>
      </rPr>
      <t xml:space="preserve">
     1、完成测试环境验证
     2、确定推广方案
</t>
    </r>
    <r>
      <rPr>
        <b/>
        <sz val="11"/>
        <color rgb="FFFF0000"/>
        <rFont val="微软雅黑"/>
        <family val="2"/>
        <charset val="134"/>
      </rPr>
      <t>4月底：</t>
    </r>
    <r>
      <rPr>
        <sz val="11"/>
        <color rgb="FF000000"/>
        <rFont val="微软雅黑"/>
        <family val="2"/>
        <charset val="134"/>
      </rPr>
      <t xml:space="preserve">车道生产试点
</t>
    </r>
    <r>
      <rPr>
        <b/>
        <sz val="11"/>
        <color rgb="FFFF0000"/>
        <rFont val="微软雅黑"/>
        <family val="2"/>
        <charset val="134"/>
      </rPr>
      <t>12月底：</t>
    </r>
    <r>
      <rPr>
        <sz val="11"/>
        <color rgb="FF000000"/>
        <rFont val="微软雅黑"/>
        <family val="2"/>
        <charset val="134"/>
      </rPr>
      <t>完成全省切换</t>
    </r>
  </si>
  <si>
    <r>
      <rPr>
        <b/>
        <sz val="11"/>
        <color rgb="FFFF0000"/>
        <rFont val="微软雅黑"/>
        <family val="2"/>
        <charset val="134"/>
      </rPr>
      <t>5月底：</t>
    </r>
    <r>
      <rPr>
        <sz val="11"/>
        <color rgb="FF000000"/>
        <rFont val="微软雅黑"/>
        <family val="2"/>
        <charset val="134"/>
      </rPr>
      <t xml:space="preserve">完成平台所有软件功能的开发上线。
</t>
    </r>
    <r>
      <rPr>
        <b/>
        <sz val="11"/>
        <color rgb="FFFF0000"/>
        <rFont val="微软雅黑"/>
        <family val="2"/>
        <charset val="134"/>
      </rPr>
      <t>6月底：</t>
    </r>
    <r>
      <rPr>
        <sz val="11"/>
        <color rgb="FF000000"/>
        <rFont val="微软雅黑"/>
        <family val="2"/>
        <charset val="134"/>
      </rPr>
      <t xml:space="preserve">完成G4、G60路段所有外场设备的上架调试，并对接平台实现策略发布和管控。
</t>
    </r>
    <r>
      <rPr>
        <b/>
        <sz val="11"/>
        <color rgb="FFFF0000"/>
        <rFont val="微软雅黑"/>
        <family val="2"/>
        <charset val="134"/>
      </rPr>
      <t>12月底：</t>
    </r>
    <r>
      <rPr>
        <sz val="11"/>
        <color rgb="FF000000"/>
        <rFont val="微软雅黑"/>
        <family val="2"/>
        <charset val="134"/>
      </rPr>
      <t>完成G0401路段所有外场设备的上架调试，并对接平台实现策略发布和管控。</t>
    </r>
  </si>
  <si>
    <r>
      <rPr>
        <b/>
        <sz val="11"/>
        <color rgb="FFFF0000"/>
        <rFont val="等线"/>
        <charset val="134"/>
      </rPr>
      <t>2月底：</t>
    </r>
    <r>
      <rPr>
        <sz val="11"/>
        <color rgb="FF000000"/>
        <rFont val="等线"/>
        <charset val="134"/>
      </rPr>
      <t xml:space="preserve">完成云站初版方案确定和需求分析
</t>
    </r>
    <r>
      <rPr>
        <b/>
        <sz val="11"/>
        <color rgb="FFFF0000"/>
        <rFont val="等线"/>
        <charset val="134"/>
      </rPr>
      <t>4月：</t>
    </r>
    <r>
      <rPr>
        <sz val="11"/>
        <color rgb="FF000000"/>
        <rFont val="等线"/>
        <charset val="134"/>
      </rPr>
      <t xml:space="preserve">完成云站开发及测试
</t>
    </r>
    <r>
      <rPr>
        <b/>
        <sz val="11"/>
        <color rgb="FFFF0000"/>
        <rFont val="等线"/>
        <charset val="134"/>
      </rPr>
      <t>5月：</t>
    </r>
    <r>
      <rPr>
        <sz val="11"/>
        <color rgb="FF000000"/>
        <rFont val="等线"/>
        <charset val="134"/>
      </rPr>
      <t xml:space="preserve">完成云站试点工作
</t>
    </r>
    <r>
      <rPr>
        <b/>
        <sz val="11"/>
        <color rgb="FFFF0000"/>
        <rFont val="等线"/>
        <charset val="134"/>
      </rPr>
      <t>11月底前</t>
    </r>
    <r>
      <rPr>
        <sz val="11"/>
        <color rgb="FFFF0000"/>
        <rFont val="等线"/>
        <charset val="134"/>
      </rPr>
      <t>：</t>
    </r>
    <r>
      <rPr>
        <sz val="11"/>
        <color rgb="FF000000"/>
        <rFont val="等线"/>
        <charset val="134"/>
      </rPr>
      <t xml:space="preserve">完成所有类型车道试点工作
</t>
    </r>
    <r>
      <rPr>
        <b/>
        <sz val="11"/>
        <color rgb="FFFF0000"/>
        <rFont val="等线"/>
        <charset val="134"/>
      </rPr>
      <t>12月底：</t>
    </r>
    <r>
      <rPr>
        <sz val="11"/>
        <color rgb="FF000000"/>
        <rFont val="等线"/>
        <charset val="134"/>
      </rPr>
      <t>按照交通部要求完成站点改造</t>
    </r>
  </si>
  <si>
    <r>
      <rPr>
        <b/>
        <sz val="11"/>
        <color rgb="FFFF0000"/>
        <rFont val="微软雅黑"/>
        <family val="2"/>
        <charset val="134"/>
      </rPr>
      <t>5月底：</t>
    </r>
    <r>
      <rPr>
        <sz val="11"/>
        <color rgb="FF000000"/>
        <rFont val="微软雅黑"/>
        <family val="2"/>
        <charset val="134"/>
      </rPr>
      <t xml:space="preserve">完成需求调研、设计
</t>
    </r>
    <r>
      <rPr>
        <b/>
        <sz val="11"/>
        <color rgb="FFFF0000"/>
        <rFont val="微软雅黑"/>
        <family val="2"/>
        <charset val="134"/>
      </rPr>
      <t>9月底：</t>
    </r>
    <r>
      <rPr>
        <sz val="11"/>
        <color rgb="FF000000"/>
        <rFont val="微软雅黑"/>
        <family val="2"/>
        <charset val="134"/>
      </rPr>
      <t xml:space="preserve">完成系统开发
</t>
    </r>
    <r>
      <rPr>
        <b/>
        <sz val="11"/>
        <color rgb="FFFF0000"/>
        <rFont val="微软雅黑"/>
        <family val="2"/>
        <charset val="134"/>
      </rPr>
      <t>12月底：</t>
    </r>
    <r>
      <rPr>
        <sz val="11"/>
        <color rgb="FF000000"/>
        <rFont val="微软雅黑"/>
        <family val="2"/>
        <charset val="134"/>
      </rPr>
      <t>完成试运行</t>
    </r>
  </si>
  <si>
    <r>
      <rPr>
        <sz val="12"/>
        <color rgb="FFFF0000"/>
        <rFont val="等线"/>
        <charset val="134"/>
      </rPr>
      <t>5–6月（基础梳理+标准设计）</t>
    </r>
    <r>
      <rPr>
        <sz val="12"/>
        <color rgb="FF000000"/>
        <rFont val="等线"/>
        <charset val="134"/>
      </rPr>
      <t xml:space="preserve">
完成收费业务全流程梳理（站/路/云一体）
梳理现有系统依赖关系
提交《收费业务产品化需求清单》
输出收费业务标准功能模块定义
形成统一业务流程标准
明确云站收费监测场景
验收：
流程梳理覆盖率 ≥90%
发布《收费业务流程V1》
产品化需求清单评审通过
</t>
    </r>
    <r>
      <rPr>
        <sz val="12"/>
        <color rgb="FFFF0000"/>
        <rFont val="等线"/>
        <charset val="134"/>
      </rPr>
      <t>7–9月（产品试点）</t>
    </r>
    <r>
      <rPr>
        <sz val="12"/>
        <color rgb="FF000000"/>
        <rFont val="等线"/>
        <charset val="134"/>
      </rPr>
      <t xml:space="preserve">
选取2–3个收费场景开展产品化试点
接入统一监测平台（试运行）
验证少人化收费支撑能力
验收：
试点场景 ≥2个
监测平台接入率 ≥80%
重要类问题100%可追踪
</t>
    </r>
    <r>
      <rPr>
        <sz val="12"/>
        <color rgb="FFFF0000"/>
        <rFont val="等线"/>
        <charset val="134"/>
      </rPr>
      <t>10–12月（初步产品化）</t>
    </r>
    <r>
      <rPr>
        <sz val="12"/>
        <color rgb="FF000000"/>
        <rFont val="等线"/>
        <charset val="134"/>
      </rPr>
      <t xml:space="preserve">
输出收费标准产品包V1.0
完成典型场景复制验证
形成年度运行分析报告
验收：
形成1个标准产品包
具备复制推广能力
少人化场景运行稳定
</t>
    </r>
    <r>
      <rPr>
        <sz val="12"/>
        <color rgb="FFFF0000"/>
        <rFont val="等线"/>
        <charset val="134"/>
      </rPr>
      <t>验收标准（年度）</t>
    </r>
    <r>
      <rPr>
        <sz val="12"/>
        <color rgb="FFFF0000"/>
        <rFont val="等线"/>
        <charset val="134"/>
      </rPr>
      <t xml:space="preserve">
收费核心流程标准化覆盖率 ≥60%</t>
    </r>
    <r>
      <rPr>
        <sz val="12"/>
        <color rgb="FFFF0000"/>
        <rFont val="等线"/>
        <charset val="134"/>
      </rPr>
      <t xml:space="preserve">
接入监测平台率 ≥80%</t>
    </r>
    <r>
      <rPr>
        <sz val="12"/>
        <color rgb="FFFF0000"/>
        <rFont val="等线"/>
        <charset val="134"/>
      </rPr>
      <t xml:space="preserve">
形成1个可复制产品包</t>
    </r>
    <r>
      <rPr>
        <sz val="12"/>
        <color rgb="FFFF0000"/>
        <rFont val="等线"/>
        <charset val="134"/>
      </rPr>
      <t xml:space="preserve">
少人化场景支撑能力验证完成</t>
    </r>
  </si>
  <si>
    <r>
      <rPr>
        <b/>
        <sz val="11"/>
        <color rgb="FFFF0000"/>
        <rFont val="等线"/>
        <charset val="134"/>
      </rPr>
      <t>3月底：</t>
    </r>
    <r>
      <rPr>
        <sz val="11"/>
        <color rgb="FF000000"/>
        <rFont val="等线"/>
        <charset val="134"/>
      </rPr>
      <t xml:space="preserve">
      1、完成收入合同签订。
      2、完成劳务采购。
3月底：完成各系统日常工作场景自维的操作手册编制，验证工作；完成人员牵头负责各业务场景日常运维工作
</t>
    </r>
    <r>
      <rPr>
        <b/>
        <sz val="11"/>
        <color rgb="FFFF0000"/>
        <rFont val="等线"/>
        <charset val="134"/>
      </rPr>
      <t>6月底：</t>
    </r>
    <r>
      <rPr>
        <sz val="11"/>
        <color rgb="FF000000"/>
        <rFont val="等线"/>
        <charset val="134"/>
      </rPr>
      <t xml:space="preserve">核心业务系统完成自维率提升到100%。
</t>
    </r>
  </si>
  <si>
    <r>
      <rPr>
        <b/>
        <sz val="11"/>
        <color rgb="FFFF0000"/>
        <rFont val="等线"/>
        <charset val="134"/>
      </rPr>
      <t>3月底：</t>
    </r>
    <r>
      <rPr>
        <sz val="11"/>
        <color rgb="FF000000"/>
        <rFont val="等线"/>
        <charset val="134"/>
      </rPr>
      <t xml:space="preserve">完成可脚本化运维内容梳理；完成需可视化监控内容梳理；
</t>
    </r>
    <r>
      <rPr>
        <b/>
        <sz val="11"/>
        <color rgb="FFFF0000"/>
        <rFont val="等线"/>
        <charset val="134"/>
      </rPr>
      <t>4月中：</t>
    </r>
    <r>
      <rPr>
        <sz val="11"/>
        <color rgb="FF000000"/>
        <rFont val="等线"/>
        <charset val="134"/>
      </rPr>
      <t>根据梳理内容完成实施计划；
根据实施计划完成</t>
    </r>
  </si>
  <si>
    <r>
      <rPr>
        <b/>
        <sz val="11"/>
        <color rgb="FFFF0000"/>
        <rFont val="等线"/>
        <charset val="134"/>
      </rPr>
      <t>3月底：</t>
    </r>
    <r>
      <rPr>
        <sz val="11"/>
        <color rgb="FF000000"/>
        <rFont val="等线"/>
        <charset val="134"/>
      </rPr>
      <t xml:space="preserve">完成数字底座新上设备运维资料收集
</t>
    </r>
    <r>
      <rPr>
        <b/>
        <sz val="11"/>
        <color rgb="FFFF0000"/>
        <rFont val="等线"/>
        <charset val="134"/>
      </rPr>
      <t>3月底：</t>
    </r>
    <r>
      <rPr>
        <sz val="11"/>
        <color rgb="FF000000"/>
        <rFont val="等线"/>
        <charset val="134"/>
      </rPr>
      <t xml:space="preserve">完成数字底座设备和现有设备的运维监控
5月底：完成需要接入内容清单
</t>
    </r>
    <r>
      <rPr>
        <b/>
        <sz val="11"/>
        <color rgb="FFFF0000"/>
        <rFont val="等线"/>
        <charset val="134"/>
      </rPr>
      <t>12月底：</t>
    </r>
    <r>
      <rPr>
        <sz val="11"/>
        <color rgb="FF000000"/>
        <rFont val="等线"/>
        <charset val="134"/>
      </rPr>
      <t>完成集团机房服务器、网络和数据库的自维</t>
    </r>
  </si>
  <si>
    <r>
      <rPr>
        <b/>
        <sz val="11"/>
        <color rgb="FFFF0000"/>
        <rFont val="等线"/>
        <charset val="134"/>
      </rPr>
      <t>4月底：</t>
    </r>
    <r>
      <rPr>
        <sz val="11"/>
        <color rgb="FF000000"/>
        <rFont val="等线"/>
        <charset val="134"/>
      </rPr>
      <t xml:space="preserve">完成系统测试
</t>
    </r>
    <r>
      <rPr>
        <b/>
        <sz val="11"/>
        <color rgb="FFFF0000"/>
        <rFont val="等线"/>
        <charset val="134"/>
      </rPr>
      <t>5月底：</t>
    </r>
    <r>
      <rPr>
        <sz val="11"/>
        <color rgb="FF000000"/>
        <rFont val="等线"/>
        <charset val="134"/>
      </rPr>
      <t xml:space="preserve">完成接入系统盘点，形成系统清单
</t>
    </r>
    <r>
      <rPr>
        <b/>
        <sz val="11"/>
        <color rgb="FFFF0000"/>
        <rFont val="等线"/>
        <charset val="134"/>
      </rPr>
      <t>12月底：</t>
    </r>
    <r>
      <rPr>
        <sz val="11"/>
        <color rgb="FF000000"/>
        <rFont val="等线"/>
        <charset val="134"/>
      </rPr>
      <t>完成60%</t>
    </r>
  </si>
  <si>
    <r>
      <rPr>
        <b/>
        <sz val="11"/>
        <color rgb="FFFF0000"/>
        <rFont val="等线"/>
        <charset val="134"/>
      </rPr>
      <t>4月底：</t>
    </r>
    <r>
      <rPr>
        <sz val="11"/>
        <color rgb="FF000000"/>
        <rFont val="等线"/>
        <charset val="134"/>
      </rPr>
      <t xml:space="preserve">完成系统测试
</t>
    </r>
    <r>
      <rPr>
        <b/>
        <sz val="11"/>
        <color rgb="FFFF0000"/>
        <rFont val="等线"/>
        <charset val="134"/>
      </rPr>
      <t>5月底：</t>
    </r>
    <r>
      <rPr>
        <sz val="11"/>
        <color rgb="FF000000"/>
        <rFont val="等线"/>
        <charset val="134"/>
      </rPr>
      <t xml:space="preserve">完成接入系统盘点，形成系统清单
</t>
    </r>
    <r>
      <rPr>
        <b/>
        <sz val="11"/>
        <color rgb="FFFF0000"/>
        <rFont val="等线"/>
        <charset val="134"/>
      </rPr>
      <t>12月底：</t>
    </r>
    <r>
      <rPr>
        <sz val="11"/>
        <color rgb="FF000000"/>
        <rFont val="等线"/>
        <charset val="134"/>
      </rPr>
      <t>完成40-50%</t>
    </r>
  </si>
  <si>
    <r>
      <rPr>
        <b/>
        <sz val="11"/>
        <color rgb="FFFF0000"/>
        <rFont val="微软雅黑"/>
        <family val="2"/>
        <charset val="134"/>
      </rPr>
      <t>3月底：</t>
    </r>
    <r>
      <rPr>
        <sz val="11"/>
        <color rgb="FF000000"/>
        <rFont val="微软雅黑"/>
        <family val="2"/>
        <charset val="134"/>
      </rPr>
      <t xml:space="preserve">盘点需要列入监控系统清单
</t>
    </r>
    <r>
      <rPr>
        <b/>
        <sz val="11"/>
        <color rgb="FFFF0000"/>
        <rFont val="微软雅黑"/>
        <family val="2"/>
        <charset val="134"/>
      </rPr>
      <t>6月底：</t>
    </r>
    <r>
      <rPr>
        <sz val="11"/>
        <color rgb="FF000000"/>
        <rFont val="微软雅黑"/>
        <family val="2"/>
        <charset val="134"/>
      </rPr>
      <t>完成100%系统接入</t>
    </r>
  </si>
  <si>
    <r>
      <rPr>
        <sz val="11"/>
        <color rgb="FF000000"/>
        <rFont val="等线"/>
        <charset val="134"/>
      </rPr>
      <t>已经完成需要监控系统清单的清点。</t>
    </r>
    <r>
      <rPr>
        <sz val="11"/>
        <color rgb="FF000000"/>
        <rFont val="等线"/>
        <charset val="134"/>
      </rPr>
      <t xml:space="preserve">
【金山文档</t>
    </r>
    <r>
      <rPr>
        <sz val="11"/>
        <color rgb="FF000000"/>
        <rFont val="等线"/>
        <charset val="134"/>
      </rPr>
      <t xml:space="preserve"> |</t>
    </r>
    <r>
      <rPr>
        <sz val="11"/>
        <color rgb="FF000000"/>
        <rFont val="等线"/>
        <charset val="134"/>
      </rPr>
      <t xml:space="preserve"> WPS云文档】</t>
    </r>
    <r>
      <rPr>
        <sz val="11"/>
        <color rgb="FF000000"/>
        <rFont val="等线"/>
        <charset val="134"/>
      </rPr>
      <t xml:space="preserve"> 系统清单</t>
    </r>
    <r>
      <rPr>
        <u/>
        <sz val="11"/>
        <color rgb="FF175CEB"/>
        <rFont val="等线"/>
        <charset val="134"/>
      </rPr>
      <t xml:space="preserve">
https://365.kdocs.cn/l/cds4eAtP4FPr</t>
    </r>
  </si>
  <si>
    <r>
      <rPr>
        <sz val="11"/>
        <color rgb="FF000000"/>
        <rFont val="等线"/>
        <charset val="134"/>
      </rPr>
      <t xml:space="preserve">4月底：完成入场前办公环境，制度材料，设备等准备工作。
</t>
    </r>
    <r>
      <rPr>
        <b/>
        <sz val="11"/>
        <color rgb="FFFF0000"/>
        <rFont val="等线"/>
        <charset val="134"/>
      </rPr>
      <t>6月底：</t>
    </r>
    <r>
      <rPr>
        <sz val="11"/>
        <color rgb="FF000000"/>
        <rFont val="等线"/>
        <charset val="134"/>
      </rPr>
      <t xml:space="preserve">完成合同签订
</t>
    </r>
    <r>
      <rPr>
        <b/>
        <sz val="11"/>
        <color rgb="FFFF0000"/>
        <rFont val="等线"/>
        <charset val="134"/>
      </rPr>
      <t>10月底：</t>
    </r>
    <r>
      <rPr>
        <sz val="11"/>
        <color rgb="FF000000"/>
        <rFont val="等线"/>
        <charset val="134"/>
      </rPr>
      <t xml:space="preserve">完成相关设备部署
</t>
    </r>
    <r>
      <rPr>
        <b/>
        <sz val="11"/>
        <color rgb="FFFF0000"/>
        <rFont val="等线"/>
        <charset val="134"/>
      </rPr>
      <t>12月底：</t>
    </r>
    <r>
      <rPr>
        <sz val="11"/>
        <color rgb="FF000000"/>
        <rFont val="等线"/>
        <charset val="134"/>
      </rPr>
      <t xml:space="preserve">
       1、搭建安全运维工作整体流程、框架
       2、能够处理基本安全事件</t>
    </r>
  </si>
  <si>
    <r>
      <rPr>
        <b/>
        <sz val="11"/>
        <color rgb="FFFF0000"/>
        <rFont val="微软雅黑"/>
        <family val="2"/>
        <charset val="134"/>
      </rPr>
      <t>3月底：</t>
    </r>
    <r>
      <rPr>
        <sz val="11"/>
        <color rgb="FF000000"/>
        <rFont val="微软雅黑"/>
        <family val="2"/>
        <charset val="134"/>
      </rPr>
      <t xml:space="preserve">季度完成应急演练，并更新应急文档知识库
</t>
    </r>
    <r>
      <rPr>
        <b/>
        <sz val="11"/>
        <color rgb="FFFF0000"/>
        <rFont val="微软雅黑"/>
        <family val="2"/>
        <charset val="134"/>
      </rPr>
      <t>6月底：</t>
    </r>
    <r>
      <rPr>
        <sz val="11"/>
        <color rgb="FF000000"/>
        <rFont val="微软雅黑"/>
        <family val="2"/>
        <charset val="134"/>
      </rPr>
      <t xml:space="preserve">季度完成应急演练，并更新应急文档知识库
</t>
    </r>
    <r>
      <rPr>
        <b/>
        <sz val="11"/>
        <color rgb="FFFF0000"/>
        <rFont val="微软雅黑"/>
        <family val="2"/>
        <charset val="134"/>
      </rPr>
      <t>9月底：</t>
    </r>
    <r>
      <rPr>
        <sz val="11"/>
        <color rgb="FF000000"/>
        <rFont val="微软雅黑"/>
        <family val="2"/>
        <charset val="134"/>
      </rPr>
      <t xml:space="preserve">季度完成应急演练，并更新应急文档知识库
</t>
    </r>
    <r>
      <rPr>
        <b/>
        <sz val="11"/>
        <color rgb="FFFF0000"/>
        <rFont val="微软雅黑"/>
        <family val="2"/>
        <charset val="134"/>
      </rPr>
      <t>12月底：</t>
    </r>
    <r>
      <rPr>
        <sz val="11"/>
        <color rgb="FF000000"/>
        <rFont val="微软雅黑"/>
        <family val="2"/>
        <charset val="134"/>
      </rPr>
      <t>季度完成应急演练，并更新应急文档知识库</t>
    </r>
  </si>
  <si>
    <r>
      <rPr>
        <sz val="11"/>
        <color rgb="FFFF0000"/>
        <rFont val="等线"/>
        <charset val="134"/>
      </rPr>
      <t>5月-6月：</t>
    </r>
    <r>
      <rPr>
        <sz val="11"/>
        <color rgb="FF000000"/>
        <rFont val="等线"/>
        <charset val="134"/>
      </rPr>
      <t xml:space="preserve">完成运维体系与监测系统对接与使用规范建设
完成：明确运维监测系统使用规范、统一运维事件分类标准、建立系统使用角色与责任机制、梳理现有运维流程与系统映射关系
验收标准：100%运维人员纳入统一系统使用规范、事件分类标准统一率100%、运维流程与监测系统映射完成
</t>
    </r>
    <r>
      <rPr>
        <sz val="11"/>
        <color rgb="FFFF0000"/>
        <rFont val="等线"/>
        <charset val="134"/>
      </rPr>
      <t>7月-8月：</t>
    </r>
    <r>
      <rPr>
        <sz val="11"/>
        <color rgb="FF000000"/>
        <rFont val="等线"/>
        <charset val="134"/>
      </rPr>
      <t xml:space="preserve">完成告警处理与工单闭环机制运行
完成：建立告警分级响应机制（A/B/C）、推动告警自动工单流转机制落地、完善跨专业协同处置流程（机电/网络/软件）
验收标准：告警闭环率 ≥60%、A类告警响应时间 ≤30分钟、工单自动流转覆盖率 ≥70%
</t>
    </r>
    <r>
      <rPr>
        <sz val="11"/>
        <color rgb="FFFF0000"/>
        <rFont val="等线"/>
        <charset val="134"/>
      </rPr>
      <t>四、9月-10月：</t>
    </r>
    <r>
      <rPr>
        <sz val="11"/>
        <color rgb="FF000000"/>
        <rFont val="等线"/>
        <charset val="134"/>
      </rPr>
      <t xml:space="preserve">完成运行问题分析与优化机制建设
完成：运行问题分类分析机制、重复故障识别机制、重点系统运行健康分析机制、问题复盘机制常态化运行
验收标准：重复故障率下降 ≥20%、问题复盘覆盖率100%、重点系统健康分析月度运行
</t>
    </r>
    <r>
      <rPr>
        <sz val="11"/>
        <color rgb="FFFF0000"/>
        <rFont val="等线"/>
        <charset val="134"/>
      </rPr>
      <t>11月-12月：</t>
    </r>
    <r>
      <rPr>
        <sz val="11"/>
        <color rgb="FF000000"/>
        <rFont val="等线"/>
        <charset val="134"/>
      </rPr>
      <t>完成运维数据运营与决策支撑能力建设
完成：运维数据分析模型建设、运行指标月度分析机制、系统运行风险提示机制、年度运维分析报告体系
验收标准：运维分析报告100%自动化生成、系统运行风险识别覆盖率 ≥80%、管理层月度可视化决策支撑</t>
    </r>
  </si>
  <si>
    <r>
      <rPr>
        <sz val="9"/>
        <color rgb="FFDE3C36"/>
        <rFont val="等线"/>
        <charset val="134"/>
      </rPr>
      <t>1、5月-6月：</t>
    </r>
    <r>
      <rPr>
        <sz val="9"/>
        <color rgb="FF000000"/>
        <rFont val="等线"/>
        <charset val="134"/>
      </rPr>
      <t xml:space="preserve">完成技术架构统一与标准体系建设
完成：三大平台统一技术架构设计、统一接口/权限/消息/日志规范、系统技术资产梳理
验收标准：输出《统一技术架构规范V1.0》、核心系统接入统一架构 ≥80%、技术标准覆盖率 ≥70%
</t>
    </r>
    <r>
      <rPr>
        <sz val="9"/>
        <color rgb="FFDE3C36"/>
        <rFont val="等线"/>
        <charset val="134"/>
      </rPr>
      <t>7月-8月：</t>
    </r>
    <r>
      <rPr>
        <sz val="9"/>
        <color rgb="FF000000"/>
        <rFont val="等线"/>
        <charset val="134"/>
      </rPr>
      <t xml:space="preserve">完成基础能力组件建设
完成：权限中心/消息中心/任务中心统一建设、基础组件库V1.0上线、核心模块组件化改造
验收标准：≥3类公共组件上线运行、≥30%系统实现组件复用、组件库稳定运行
</t>
    </r>
    <r>
      <rPr>
        <sz val="9"/>
        <color rgb="FFDE3C36"/>
        <rFont val="等线"/>
        <charset val="134"/>
      </rPr>
      <t>9月-10月：</t>
    </r>
    <r>
      <rPr>
        <sz val="9"/>
        <color rgb="FF000000"/>
        <rFont val="等线"/>
        <charset val="134"/>
      </rPr>
      <t xml:space="preserve">完成核心系统产品化试点
完成：1–2个核心系统产品化改造、产品版本管理机制建立、标准产品包形成
</t>
    </r>
    <r>
      <rPr>
        <sz val="9"/>
        <color rgb="FFDE3C36"/>
        <rFont val="等线"/>
        <charset val="134"/>
      </rPr>
      <t>验收标准：</t>
    </r>
    <r>
      <rPr>
        <sz val="9"/>
        <color rgb="FF000000"/>
        <rFont val="等线"/>
        <charset val="134"/>
      </rPr>
      <t xml:space="preserve">至少1个系统产品化运行、产品化率 ≥40%、系统可独立发版
</t>
    </r>
    <r>
      <rPr>
        <sz val="9"/>
        <color rgb="FFDE3C36"/>
        <rFont val="等线"/>
        <charset val="134"/>
      </rPr>
      <t>11月-12月：</t>
    </r>
    <r>
      <rPr>
        <sz val="9"/>
        <color rgb="FF000000"/>
        <rFont val="等线"/>
        <charset val="134"/>
      </rPr>
      <t>完成产品体系固化
完成：产品体系V1.0发布、标准产品包沉淀、技术资产沉淀
验收标准：产品化率 ≥50%、标准产品包 ≥1套、技术资产完整率 100%</t>
    </r>
  </si>
  <si>
    <r>
      <rPr>
        <sz val="9"/>
        <color rgb="FFFF0000"/>
        <rFont val="等线"/>
        <charset val="134"/>
      </rPr>
      <t>5月-6月：</t>
    </r>
    <r>
      <rPr>
        <sz val="9"/>
        <color rgb="FF000000"/>
        <rFont val="等线"/>
        <charset val="134"/>
      </rPr>
      <t xml:space="preserve">完成AI研发治理体系与流程规范建设
完成：AI研发规范体系建立、AI使用纳入研发流程（需求/设计/开发/测试）、AI使用行为统计机制建设
验收标准：AI使用100%纳入研发流程规范、AI使用行为100%可统计、AI工具在研发全流程全面覆盖
</t>
    </r>
    <r>
      <rPr>
        <sz val="9"/>
        <color rgb="FFFF0000"/>
        <rFont val="等线"/>
        <charset val="134"/>
      </rPr>
      <t>7月-8月：</t>
    </r>
    <r>
      <rPr>
        <sz val="9"/>
        <color rgb="FF000000"/>
        <rFont val="等线"/>
        <charset val="134"/>
      </rPr>
      <t xml:space="preserve">完成AI深度嵌入研发全流程
完成：AI嵌入需求分析与设计评审、AI辅助代码评审机制上线、AI自动生成测试用例能力应用、AI参与研发过程评审
验收标准：AI覆盖研发流程 ≥70%、代码评审AI参与率 ≥50%、测试用例AI生成率 ≥40%
</t>
    </r>
    <r>
      <rPr>
        <sz val="9"/>
        <color rgb="FFFF0000"/>
        <rFont val="等线"/>
        <charset val="134"/>
      </rPr>
      <t>9月-10月</t>
    </r>
    <r>
      <rPr>
        <sz val="9"/>
        <color rgb="FF000000"/>
        <rFont val="等线"/>
        <charset val="134"/>
      </rPr>
      <t xml:space="preserve">：完成AI研发效率量化体系建设
完成：AI研发效率评估模型建立、研发周期对比分析体系、AI贡献度量化机制（代码/测试/缺陷）
验收标准：研发周期缩短 ≥10%、缺陷提前发现率 ≥20%、AI贡献度实现可量化统计
</t>
    </r>
    <r>
      <rPr>
        <sz val="9"/>
        <color rgb="FFFF0000"/>
        <rFont val="等线"/>
        <charset val="134"/>
      </rPr>
      <t>11月-12月：</t>
    </r>
    <r>
      <rPr>
        <sz val="9"/>
        <color rgb="FF000000"/>
        <rFont val="等线"/>
        <charset val="134"/>
      </rPr>
      <t>完成AI研发体系标准化固化
完成：AI研发体系V1.0固化、AI能力纳入研发标准流程、AI工具链统一化
验收标准：AI覆盖研发流程 ≥80%、AI研发体系制度化运行、AI能力纳入标准研发体系</t>
    </r>
  </si>
  <si>
    <r>
      <rPr>
        <sz val="10"/>
        <color rgb="FFFF0000"/>
        <rFont val="等线"/>
        <charset val="134"/>
      </rPr>
      <t>5月-6月：</t>
    </r>
    <r>
      <rPr>
        <sz val="10"/>
        <color rgb="FF000000"/>
        <rFont val="等线"/>
        <charset val="134"/>
      </rPr>
      <t xml:space="preserve">完成运营监测平台总体架构设计与现状整合
完成：现有运维监测系统梳理（机电/网络/软件/收费）、统一监测架构设计、指标体系定义、数据接入标准制定
验收标准：输出《运营监测平台总体设计方案V1.0》、完成≥80%现有监测系统梳理、统一指标体系100%定义
</t>
    </r>
    <r>
      <rPr>
        <sz val="10"/>
        <color rgb="FFFF0000"/>
        <rFont val="等线"/>
        <charset val="134"/>
      </rPr>
      <t>7月-8月：</t>
    </r>
    <r>
      <rPr>
        <sz val="10"/>
        <color rgb="FF000000"/>
        <rFont val="等线"/>
        <charset val="134"/>
      </rPr>
      <t xml:space="preserve">完成监测平台核心能力建设与数据接入
完成：统一监测平台原型开发、告警中心/指标中心/设备中心建设、核心系统数据接入（收费/机电/路网）
验收标准：≥80%核心系统完成数据接入、告警分类体系100%上线、平台核心模块稳定运行
</t>
    </r>
    <r>
      <rPr>
        <sz val="10"/>
        <color rgb="FFFF0000"/>
        <rFont val="等线"/>
        <charset val="134"/>
      </rPr>
      <t>9月-10月：</t>
    </r>
    <r>
      <rPr>
        <sz val="10"/>
        <color rgb="FF000000"/>
        <rFont val="等线"/>
        <charset val="134"/>
      </rPr>
      <t xml:space="preserve">完成告警闭环与智能派单能力建设
完成：告警闭环流程上线、自动派单机制建设、与质控中心缺陷体系打通、问题处理闭环机制形成
验收标准：告警闭环率 ≥60%、A类问题响应 ≤30分钟、告警-工单闭环100%可追溯
</t>
    </r>
    <r>
      <rPr>
        <sz val="10"/>
        <color rgb="FFFF0000"/>
        <rFont val="等线"/>
        <charset val="134"/>
      </rPr>
      <t>11月-12月</t>
    </r>
    <r>
      <rPr>
        <sz val="10"/>
        <color rgb="FF000000"/>
        <rFont val="等线"/>
        <charset val="134"/>
      </rPr>
      <t>：完成智能化监测能力与运营分析体系
完成：监测数据分析模型建设、异常识别能力上线、年度运营分析报告生成机制、AI辅助运维能力接入
验收标准：系统监测覆盖率 ≥90%、异常自动识别率 ≥50%、年度运营分析报告100%自动生成</t>
    </r>
  </si>
  <si>
    <r>
      <rPr>
        <sz val="9"/>
        <color rgb="FFFF0000"/>
        <rFont val="等线"/>
        <charset val="134"/>
      </rPr>
      <t>5月-6月：</t>
    </r>
    <r>
      <rPr>
        <sz val="9"/>
        <color rgb="FF000000"/>
        <rFont val="等线"/>
        <charset val="134"/>
      </rPr>
      <t xml:space="preserve">完成研发流程与质量规范体系建设
完成：统一研发流程（需求-设计-开发-测试-发布-运维）、质量规范体系制定、代码与测试准入准出标准统一
验收标准：输出《研发流程与质量规范V1.0》、100%项目纳入统一流程管理、质量规范覆盖率100%
</t>
    </r>
    <r>
      <rPr>
        <sz val="9"/>
        <color rgb="FFFF0000"/>
        <rFont val="等线"/>
        <charset val="134"/>
      </rPr>
      <t>7月-8月：</t>
    </r>
    <r>
      <rPr>
        <sz val="9"/>
        <color rgb="FF000000"/>
        <rFont val="等线"/>
        <charset val="134"/>
      </rPr>
      <t xml:space="preserve">完成统一需求与资源池建设（技术）
完成：统一需求池建设、需求分类与分级机制、研发资源池（人力/组件/能力）统一管理机制建立
验收标准：100%需求纳入统一需求池、≥80%需求结构化管理、资源调度透明可追踪
</t>
    </r>
    <r>
      <rPr>
        <sz val="9"/>
        <color rgb="FFFF0000"/>
        <rFont val="等线"/>
        <charset val="134"/>
      </rPr>
      <t>9月-10月：</t>
    </r>
    <r>
      <rPr>
        <sz val="9"/>
        <color rgb="FF000000"/>
        <rFont val="等线"/>
        <charset val="134"/>
      </rPr>
      <t xml:space="preserve">完成研发效能看板体系建设
完成：研发效能指标体系设计（交付周期/缺陷率/复用率/AI参与度）、效能看板开发、数据自动采集机制建设
验收标准：研发效能看板上线运行、≥80%研发过程数据自动采集、研发效率指标可量化
</t>
    </r>
    <r>
      <rPr>
        <sz val="9"/>
        <color rgb="FFFF0000"/>
        <rFont val="等线"/>
        <charset val="134"/>
      </rPr>
      <t>11月-12月：</t>
    </r>
    <r>
      <rPr>
        <sz val="9"/>
        <color rgb="FF000000"/>
        <rFont val="等线"/>
        <charset val="134"/>
      </rPr>
      <t>完成研发治理体系固化与运行
完成：研发流程、质量规范、需求池、效能体系一体化整合、形成研发治理平台V1.0、制度化运行
验收标准：研发流程执行率 ≥90%、需求池覆盖率 100%、研发效能指标月度可追踪并纳入考核体系</t>
    </r>
  </si>
  <si>
    <r>
      <rPr>
        <sz val="9"/>
        <color rgb="FFFF0000"/>
        <rFont val="等线"/>
        <charset val="134"/>
      </rPr>
      <t>5月-6月：</t>
    </r>
    <r>
      <rPr>
        <sz val="9"/>
        <color rgb="FF000000"/>
        <rFont val="等线"/>
        <charset val="134"/>
      </rPr>
      <t xml:space="preserve">完成质量流程与标准体系统一
完成：统一质量管理流程（需求评审-开发-测试-上线）、缺陷分级标准体系、测试准入与准出规范统一
验收标准：输出《质量管理规范V1.0》、100%项目纳入统一质量流程、缺陷分级标准100%统一执行
</t>
    </r>
    <r>
      <rPr>
        <sz val="9"/>
        <color rgb="FFFF0000"/>
        <rFont val="等线"/>
        <charset val="134"/>
      </rPr>
      <t>7月-8月：</t>
    </r>
    <r>
      <rPr>
        <sz val="9"/>
        <color rgb="FF000000"/>
        <rFont val="等线"/>
        <charset val="134"/>
      </rPr>
      <t xml:space="preserve">完成缺陷闭环与质量管控机制建设
完成：缺陷闭环流程上线、阻断类问题强制流转机制、缺陷责任归因机制建立、质量问题工单化管理
验收标准：缺陷闭环率 ≥40%、阻断类问题100%强制闭环、质量问题100%工单化管理
</t>
    </r>
    <r>
      <rPr>
        <sz val="9"/>
        <color rgb="FFFF0000"/>
        <rFont val="等线"/>
        <charset val="134"/>
      </rPr>
      <t>9月-10月：</t>
    </r>
    <r>
      <rPr>
        <sz val="9"/>
        <color rgb="FF000000"/>
        <rFont val="等线"/>
        <charset val="134"/>
      </rPr>
      <t xml:space="preserve">完成质量数据体系与风险分析能力建设
完成：质量数据看板建设、缺陷趋势分析模型、重大问题复盘机制、质量风险分级体系
验收标准：质量数据覆盖 ≥70%、重大缺陷下降 ≥20%、质量分析月度运行机制建立
</t>
    </r>
    <r>
      <rPr>
        <sz val="9"/>
        <color rgb="FFFF0000"/>
        <rFont val="等线"/>
        <charset val="134"/>
      </rPr>
      <t>11月-12月：</t>
    </r>
    <r>
      <rPr>
        <sz val="9"/>
        <color rgb="FF000000"/>
        <rFont val="等线"/>
        <charset val="134"/>
      </rPr>
      <t>完成质量红线机制与体系固化
完成：质量红线制度发布、质量问责机制上线、质量考核纳入绩效体系、质量体系平台化运行
验收标准：闭环率 ≥60%、红色问题100%纳管、重复缺陷率下降 ≥30%、质量考核100%纳入绩效</t>
    </r>
  </si>
  <si>
    <r>
      <rPr>
        <sz val="10"/>
        <color rgb="FFFF0000"/>
        <rFont val="等线"/>
        <charset val="134"/>
      </rPr>
      <t>5月-6月：</t>
    </r>
    <r>
      <rPr>
        <sz val="10"/>
        <color rgb="FF000000"/>
        <rFont val="等线"/>
        <charset val="134"/>
      </rPr>
      <t xml:space="preserve">完成系统稳定性监测体系建设(业务）
完成：系统稳定性指标体系建立、故障分类标准统一、监控数据接入规范制定
验收标准：稳定性指标体系100%覆盖核心系统、故障分类标准统一率100%
</t>
    </r>
    <r>
      <rPr>
        <sz val="10"/>
        <color rgb="FFFF0000"/>
        <rFont val="等线"/>
        <charset val="134"/>
      </rPr>
      <t>7月-8月：</t>
    </r>
    <r>
      <rPr>
        <sz val="10"/>
        <color rgb="FF000000"/>
        <rFont val="等线"/>
        <charset val="134"/>
      </rPr>
      <t xml:space="preserve">完成运行风险识别与预警机制建设
完成：运行风险识别规则建立、异常预警模型设计、关键系统健康度评估机制
验收标准：关键系统监测覆盖率 ≥80%、异常预警覆盖率 ≥60%
</t>
    </r>
    <r>
      <rPr>
        <sz val="10"/>
        <color rgb="FFFF0000"/>
        <rFont val="等线"/>
        <charset val="134"/>
      </rPr>
      <t>9月-10月：</t>
    </r>
    <r>
      <rPr>
        <sz val="10"/>
        <color rgb="FF000000"/>
        <rFont val="等线"/>
        <charset val="134"/>
      </rPr>
      <t xml:space="preserve">完成稳定性提升与问题治理机制
完成：重大故障复盘机制、系统性能优化闭环机制、跨系统问题联动治理机制
验收标准：系统稳定性提升 ≥10%、重大故障复盘覆盖率100%、问题闭环率 ≥60%
</t>
    </r>
    <r>
      <rPr>
        <sz val="10"/>
        <color rgb="FFFF0000"/>
        <rFont val="等线"/>
        <charset val="134"/>
      </rPr>
      <t>11月-12月：</t>
    </r>
    <r>
      <rPr>
        <sz val="10"/>
        <color rgb="FF000000"/>
        <rFont val="等线"/>
        <charset val="134"/>
      </rPr>
      <t>完成稳定性体系固化与运营分析
完成：稳定性分析模型固化、年度运行质量报告机制、系统健康度评估体系
验收标准：系统稳定性提升 ≥15%、年度运行报告100%自动生成、健康度评估体系上线运行</t>
    </r>
  </si>
  <si>
    <r>
      <rPr>
        <sz val="9"/>
        <color rgb="FFFF0000"/>
        <rFont val="等线"/>
        <charset val="134"/>
      </rPr>
      <t>5月-6月：</t>
    </r>
    <r>
      <rPr>
        <sz val="9"/>
        <color rgb="FF000000"/>
        <rFont val="等线"/>
        <charset val="134"/>
      </rPr>
      <t xml:space="preserve">完成质量数据体系设计
完成：质量指标体系设计、数据采集标准统一、质量数据模型建立
验收标准：质量指标体系覆盖100%核心系统、数据采集标准统一
</t>
    </r>
    <r>
      <rPr>
        <sz val="9"/>
        <color rgb="FFFF0000"/>
        <rFont val="等线"/>
        <charset val="134"/>
      </rPr>
      <t>7月-8月：</t>
    </r>
    <r>
      <rPr>
        <sz val="9"/>
        <color rgb="FF000000"/>
        <rFont val="等线"/>
        <charset val="134"/>
      </rPr>
      <t xml:space="preserve">完成质量可视化看板建设
完成：质量驾驶舱设计、缺陷趋势分析看板、项目质量评分体系
验收标准：质量看板上线运行、≥80%数据自动采集、质量评分体系可用
</t>
    </r>
    <r>
      <rPr>
        <sz val="9"/>
        <color rgb="FFFF0000"/>
        <rFont val="等线"/>
        <charset val="134"/>
      </rPr>
      <t>9月-10月：</t>
    </r>
    <r>
      <rPr>
        <sz val="9"/>
        <color rgb="FF000000"/>
        <rFont val="等线"/>
        <charset val="134"/>
      </rPr>
      <t xml:space="preserve">完成质量分析与决策支持能力建设
完成：质量决策分析模型、问题预测机制、质量预警体系
验收标准：质量问题预测准确率 ≥60%、质量预警机制上线运行
</t>
    </r>
    <r>
      <rPr>
        <sz val="9"/>
        <color rgb="FFFF0000"/>
        <rFont val="等线"/>
        <charset val="134"/>
      </rPr>
      <t>11月-12月：</t>
    </r>
    <r>
      <rPr>
        <sz val="9"/>
        <color rgb="FF000000"/>
        <rFont val="等线"/>
        <charset val="134"/>
      </rPr>
      <t>完成质量治理体系平台化
完成：质量管理平台V1.0固化、质量流程系统化运行、与研发/运维体系打通
验收标准：质量治理平台上线运行、质量流程系统覆盖率 ≥90%、跨系统数据打通100%</t>
    </r>
  </si>
  <si>
    <r>
      <rPr>
        <sz val="9"/>
        <color rgb="FFFF0000"/>
        <rFont val="等线"/>
        <charset val="134"/>
      </rPr>
      <t>5月-6月：</t>
    </r>
    <r>
      <rPr>
        <sz val="9"/>
        <color rgb="FF000000"/>
        <rFont val="等线"/>
        <charset val="134"/>
      </rPr>
      <t xml:space="preserve">完成项目管理制度与标准体系建设
完成：项目分级分类管理规则制定、项目立项与审批流程统一、项目里程碑管理机制设计
验收标准：输出《项目管理制度V1.0》、100%项目纳入统一管理台账、项目分级分类规则100%统一执行
</t>
    </r>
    <r>
      <rPr>
        <sz val="9"/>
        <color rgb="FFFF0000"/>
        <rFont val="等线"/>
        <charset val="134"/>
      </rPr>
      <t>7月-8月：</t>
    </r>
    <r>
      <rPr>
        <sz val="9"/>
        <color rgb="FF000000"/>
        <rFont val="等线"/>
        <charset val="134"/>
      </rPr>
      <t xml:space="preserve">完成项目过程管控机制建设
完成：项目进度跟踪机制上线、项目风险预警机制建立、资源调度与冲突协调机制建立
验收标准：项目进度透明率 100%、项目延期风险预警覆盖率 ≥80%、关键资源调度记录100%可追溯
</t>
    </r>
    <r>
      <rPr>
        <sz val="9"/>
        <color rgb="FFFF0000"/>
        <rFont val="等线"/>
        <charset val="134"/>
      </rPr>
      <t>9月-10月</t>
    </r>
    <r>
      <rPr>
        <sz val="9"/>
        <color rgb="FF000000"/>
        <rFont val="等线"/>
        <charset val="134"/>
      </rPr>
      <t xml:space="preserve">：完成项目交付与质量联动机制建设
完成：项目阶段验收机制上线、交付与质量体系打通、问题闭环与责任归因机制建立
验收标准：阶段验收覆盖率 ≥90%、项目问题闭环率 ≥60%、交付质量问题100%可追溯责任
</t>
    </r>
    <r>
      <rPr>
        <sz val="9"/>
        <color rgb="FFFF0000"/>
        <rFont val="等线"/>
        <charset val="134"/>
      </rPr>
      <t>11月-12月：</t>
    </r>
    <r>
      <rPr>
        <sz val="9"/>
        <color rgb="FF000000"/>
        <rFont val="等线"/>
        <charset val="134"/>
      </rPr>
      <t>完成项目管理平台化与运行固化
完成：项目管理看板上线、项目绩效评估机制建立、与研发/质控/运维数据打通
验收标准：项目全过程可视化覆盖率 100%、项目进度偏差率 ≤10%、项目管理数据月度自动输出</t>
    </r>
  </si>
  <si>
    <r>
      <rPr>
        <sz val="9"/>
        <color rgb="FFFF0000"/>
        <rFont val="等线"/>
        <charset val="134"/>
      </rPr>
      <t>5月-6月：</t>
    </r>
    <r>
      <rPr>
        <sz val="9"/>
        <color rgb="FF000000"/>
        <rFont val="等线"/>
        <charset val="134"/>
      </rPr>
      <t xml:space="preserve">完成统一需求入口与需求治理体系建设（需求管理）
完成：统一需求池建设、需求标准模板制定、需求分级分类机制建立、需求受理与分发流程统一
验收标准：100%需求纳入统一需求池、≥80%需求结构化录入、需求入口唯一化实现
</t>
    </r>
    <r>
      <rPr>
        <sz val="9"/>
        <color rgb="FFFF0000"/>
        <rFont val="等线"/>
        <charset val="134"/>
      </rPr>
      <t>7月-8月：</t>
    </r>
    <r>
      <rPr>
        <sz val="9"/>
        <color rgb="FF000000"/>
        <rFont val="等线"/>
        <charset val="134"/>
      </rPr>
      <t xml:space="preserve">完成解决方案标准化与产品化定义
完成：典型业务场景拆解（收费/运营/建管/运维）、标准解决方案模板体系建立、解决方案组件化拆分
验收标准：形成≥2套标准解决方案包、≥60%需求可映射至标准方案、方案复用机制初步建立
</t>
    </r>
    <r>
      <rPr>
        <sz val="9"/>
        <color rgb="FFFF0000"/>
        <rFont val="等线"/>
        <charset val="134"/>
      </rPr>
      <t>9月-10月</t>
    </r>
    <r>
      <rPr>
        <sz val="9"/>
        <color rgb="FF000000"/>
        <rFont val="等线"/>
        <charset val="134"/>
      </rPr>
      <t xml:space="preserve">：完成方案驱动交付机制建设
完成：方案评审机制上线、项目实施方案绑定机制建立、方案驱动研发与交付联动机制建立
验收标准：≥40%项目通过标准方案驱动交付、方案评审覆盖率 ≥90%、交付周期下降 ≥15%
</t>
    </r>
    <r>
      <rPr>
        <sz val="9"/>
        <color rgb="FFFF0000"/>
        <rFont val="等线"/>
        <charset val="134"/>
      </rPr>
      <t>11月-12月</t>
    </r>
    <r>
      <rPr>
        <sz val="9"/>
        <color rgb="FF000000"/>
        <rFont val="等线"/>
        <charset val="134"/>
      </rPr>
      <t>：完成解决方案体系产品化固化
完成：解决方案体系V1.0发布、跨项目复用机制建立、标准方案库建设与版本管理机制
验收标准：方案复用率 ≥60%、≥50%项目方案驱动交付、标准方案库稳定运行</t>
    </r>
  </si>
  <si>
    <r>
      <rPr>
        <sz val="9"/>
        <color rgb="FFFF0000"/>
        <rFont val="等线"/>
        <charset val="134"/>
      </rPr>
      <t>5月-6月：</t>
    </r>
    <r>
      <rPr>
        <sz val="9"/>
        <color rgb="FF000000"/>
        <rFont val="等线"/>
        <charset val="134"/>
      </rPr>
      <t xml:space="preserve">完成售前能力与行业方案体系建设
完成：行业解决方案框架统一、售前支撑材料标准化、典型案例梳理（收费/路网/建管）
验收标准：形成标准售前方案包≥1套、行业方案覆盖核心业务100%、售前响应机制建立
</t>
    </r>
    <r>
      <rPr>
        <sz val="9"/>
        <color rgb="FFFF0000"/>
        <rFont val="等线"/>
        <charset val="134"/>
      </rPr>
      <t>7月-8月：</t>
    </r>
    <r>
      <rPr>
        <sz val="9"/>
        <color rgb="FF000000"/>
        <rFont val="等线"/>
        <charset val="134"/>
      </rPr>
      <t xml:space="preserve">完成项目售前-交付协同机制建设
完成：售前需求评估机制、技术可行性评审机制、方案与研发联动机制建立
验收标准：售前评审覆盖率 ≥80%、需求一次通过率提升 ≥20%、方案偏差率下降
</t>
    </r>
    <r>
      <rPr>
        <sz val="9"/>
        <color rgb="FFFF0000"/>
        <rFont val="等线"/>
        <charset val="134"/>
      </rPr>
      <t>9月-10月：</t>
    </r>
    <r>
      <rPr>
        <sz val="9"/>
        <color rgb="FF000000"/>
        <rFont val="等线"/>
        <charset val="134"/>
      </rPr>
      <t xml:space="preserve">完成解决方案市场转化能力建设
完成：标准方案推广机制建立、跨区域复制模式设计、外部项目适配机制建设
验收标准：至少形成1个可复制推广方案模型、方案外部适配能力建立
</t>
    </r>
    <r>
      <rPr>
        <sz val="9"/>
        <color rgb="FFFF0000"/>
        <rFont val="等线"/>
        <charset val="134"/>
      </rPr>
      <t>11月-12月：</t>
    </r>
    <r>
      <rPr>
        <sz val="9"/>
        <color rgb="FF000000"/>
        <rFont val="等线"/>
        <charset val="134"/>
      </rPr>
      <t>完成解决方案产品化体系固化
完成：解决方案体系V1.0固化、方案库平台化管理、标准交付体系打通研发/质控
验收标准：方案复用率 ≥60%、方案库100%线上化管理、跨中心协同机制稳定运行</t>
    </r>
  </si>
  <si>
    <r>
      <rPr>
        <sz val="9"/>
        <color rgb="FFFF0000"/>
        <rFont val="等线"/>
        <charset val="134"/>
      </rPr>
      <t>5月-6月：</t>
    </r>
    <r>
      <rPr>
        <sz val="9"/>
        <color rgb="FF000000"/>
        <rFont val="等线"/>
        <charset val="134"/>
      </rPr>
      <t xml:space="preserve">完成商务拓展流程规范体系建设
完成：
商务拓展全流程梳理（线索获取—商机登记—评估分型—方案协同—立项/投标）、
商机台账与统一入口机制建立、
商务与解决方案中心/业务中心职责边界明确
验收标准：
输出《商务拓展流程规范V1.0》、
商机100%纳入统一台账管理、
流程执行机制建立并开始运行
</t>
    </r>
    <r>
      <rPr>
        <sz val="9"/>
        <color rgb="FFFF0000"/>
        <rFont val="等线"/>
        <charset val="134"/>
      </rPr>
      <t>7月-8月：</t>
    </r>
    <r>
      <rPr>
        <sz val="9"/>
        <color rgb="FF000000"/>
        <rFont val="等线"/>
        <charset val="134"/>
      </rPr>
      <t xml:space="preserve">完成商机评估与分型机制建设
完成：
商机分类标准建立（产品类/产品改造类/定制开发类）、
商机评估模型建立（需求清晰度、可复制性、投入产出）、
商务+方案联合评审机制建立
验收标准：
商机分类覆盖率 ≥80%、
商机评审执行率 ≥90%、
形成标准评估模板并在实际项目中应用
</t>
    </r>
    <r>
      <rPr>
        <sz val="9"/>
        <color rgb="FFFF0000"/>
        <rFont val="等线"/>
        <charset val="134"/>
      </rPr>
      <t>9月-10月：</t>
    </r>
    <r>
      <rPr>
        <sz val="9"/>
        <color rgb="FF000000"/>
        <rFont val="等线"/>
        <charset val="134"/>
      </rPr>
      <t xml:space="preserve">完成商务流程运行与优化
完成：
商务流程在实际商机中全面运行、
商机流转与评审效率优化、
非标准需求进入研发的管控机制强化
验收标准：
流程执行率 ≥90%、
商机流转周期明显缩短（有数据支撑）、
非标需求占比下降
</t>
    </r>
    <r>
      <rPr>
        <sz val="9"/>
        <color rgb="FFFF0000"/>
        <rFont val="等线"/>
        <charset val="134"/>
      </rPr>
      <t>11月-12月：</t>
    </r>
    <r>
      <rPr>
        <sz val="9"/>
        <color rgb="FF000000"/>
        <rFont val="等线"/>
        <charset val="134"/>
      </rPr>
      <t>完成商务体系固化与标准化输出
完成：
商务拓展制度体系固化、
标准流程与模板沉淀、
形成可复制的商务运行模式
验收标准：
输出《商务拓展体系V1.0》、
流程制度100%固化、
商务运行机制稳定执行</t>
    </r>
  </si>
  <si>
    <r>
      <rPr>
        <sz val="9"/>
        <color rgb="FFFF0000"/>
        <rFont val="等线"/>
        <charset val="134"/>
      </rPr>
      <t>5月-6月：</t>
    </r>
    <r>
      <rPr>
        <sz val="9"/>
        <color rgb="FF000000"/>
        <rFont val="等线"/>
        <charset val="134"/>
      </rPr>
      <t xml:space="preserve">完成市场与客户体系基础建设
完成：
目标市场梳理（省内/省外高速集团）、
客户信息库建设与分级（重点/潜在/一般）、
重点客户清单明确
验收标准：
形成客户清单 ≥10家、
客户信息完整率 ≥90%、
重点客户名单明确
</t>
    </r>
    <r>
      <rPr>
        <sz val="9"/>
        <color rgb="FFFF0000"/>
        <rFont val="等线"/>
        <charset val="134"/>
      </rPr>
      <t>7月-8月：</t>
    </r>
    <r>
      <rPr>
        <sz val="9"/>
        <color rgb="FF000000"/>
        <rFont val="等线"/>
        <charset val="134"/>
      </rPr>
      <t xml:space="preserve">完成重点客户对接与商机获取
完成：
重点客户走访与对接、
客户需求收集与初步分析、
商机池建立并纳入台账
验收标准：
完成重点客户对接 ≥5家、
形成有效商机 ≥5个、
商机100%纳入统一台账
</t>
    </r>
    <r>
      <rPr>
        <sz val="9"/>
        <color rgb="FFFF0000"/>
        <rFont val="等线"/>
        <charset val="134"/>
      </rPr>
      <t>9月-10月：</t>
    </r>
    <r>
      <rPr>
        <sz val="9"/>
        <color rgb="FF000000"/>
        <rFont val="等线"/>
        <charset val="134"/>
      </rPr>
      <t xml:space="preserve">完成商机转化与方案协同推进
完成：
重点商机推进进入方案阶段、
组织解决方案中心参与需求分析、
形成初步解决方案或合作路径
验收标准：
进入方案阶段商机 ≥3个、
形成初步方案 ≥2个、
商机转化路径清晰可跟踪
</t>
    </r>
    <r>
      <rPr>
        <sz val="9"/>
        <color rgb="FFFF0000"/>
        <rFont val="等线"/>
        <charset val="134"/>
      </rPr>
      <t>11月-12月：</t>
    </r>
    <r>
      <rPr>
        <sz val="9"/>
        <color rgb="FF000000"/>
        <rFont val="等线"/>
        <charset val="134"/>
      </rPr>
      <t>完成市场拓展成果输出与路径沉淀
完成：
推动重点商机形成实质合作（项目/合作意向）、
年度市场拓展总结分析、
可复制拓展路径沉淀
验收标准：
形成实质性合作成果（项目或合作意向）、
输出《市场拓展年度报告》、
形成标准拓展路径1套</t>
    </r>
  </si>
  <si>
    <r>
      <rPr>
        <sz val="11"/>
        <color rgb="FF000000"/>
        <rFont val="等线"/>
        <charset val="134"/>
      </rPr>
      <t>【金山文档</t>
    </r>
    <r>
      <rPr>
        <sz val="11"/>
        <color rgb="FF000000"/>
        <rFont val="等线"/>
        <charset val="134"/>
      </rPr>
      <t xml:space="preserve"> |</t>
    </r>
    <r>
      <rPr>
        <sz val="11"/>
        <color rgb="FF000000"/>
        <rFont val="等线"/>
        <charset val="134"/>
      </rPr>
      <t xml:space="preserve"> WPS云文档】</t>
    </r>
    <r>
      <rPr>
        <sz val="11"/>
        <color rgb="FF000000"/>
        <rFont val="等线"/>
        <charset val="134"/>
      </rPr>
      <t xml:space="preserve"> 收费异常场景清单</t>
    </r>
    <r>
      <rPr>
        <u/>
        <sz val="11"/>
        <color rgb="FF175CEB"/>
        <rFont val="等线"/>
        <charset val="134"/>
      </rPr>
      <t xml:space="preserve">
https://365.kdocs.cn/l/ceZoAnINLB00</t>
    </r>
  </si>
  <si>
    <r>
      <rPr>
        <b/>
        <sz val="11"/>
        <color rgb="FFFF0000"/>
        <rFont val="等线"/>
        <charset val="134"/>
      </rPr>
      <t>2月底：</t>
    </r>
    <r>
      <rPr>
        <sz val="11"/>
        <color rgb="FF000000"/>
        <rFont val="等线"/>
        <charset val="134"/>
      </rPr>
      <t xml:space="preserve">
1.、协调完成内部基础设施搭建（模型部署、API接入等）
2、完成工具链选型、初步搭建评估体系（采纳行数、采纳率）
</t>
    </r>
    <r>
      <rPr>
        <b/>
        <sz val="11"/>
        <color rgb="FFFF0000"/>
        <rFont val="等线"/>
        <charset val="134"/>
      </rPr>
      <t>3月底：</t>
    </r>
    <r>
      <rPr>
        <sz val="11"/>
        <color rgb="FF000000"/>
        <rFont val="等线"/>
        <charset val="134"/>
      </rPr>
      <t xml:space="preserve">
1、完成试点，验证可行性
2、根据试点效果迭代技术方案至可落地推广状态，解决大规模推广的障碍
3、完成培训、开始大规模推广
</t>
    </r>
    <r>
      <rPr>
        <b/>
        <sz val="11"/>
        <color rgb="FFFF0000"/>
        <rFont val="等线"/>
        <charset val="134"/>
      </rPr>
      <t>6月底：</t>
    </r>
    <r>
      <rPr>
        <sz val="11"/>
        <color rgb="FF000000"/>
        <rFont val="等线"/>
        <charset val="134"/>
      </rPr>
      <t xml:space="preserve">
1、建立定期反馈机制，收集痛点，持续优化工具策略和流程
2、总结和推广AI编程最佳实践
</t>
    </r>
    <r>
      <rPr>
        <b/>
        <sz val="11"/>
        <color rgb="FFFF0000"/>
        <rFont val="等线"/>
        <charset val="134"/>
      </rPr>
      <t>12月底：</t>
    </r>
    <r>
      <rPr>
        <sz val="11"/>
        <color rgb="FF000000"/>
        <rFont val="等线"/>
        <charset val="134"/>
      </rPr>
      <t xml:space="preserve">
1、显著提高AI辅助开发的效率
2、有效减少开发人员成本</t>
    </r>
  </si>
  <si>
    <r>
      <rPr>
        <sz val="11"/>
        <color rgb="FF000000"/>
        <rFont val="等线"/>
        <charset val="134"/>
      </rPr>
      <t>1.跟进研究院算法平台部署进度</t>
    </r>
    <r>
      <rPr>
        <sz val="11"/>
        <color rgb="FF000000"/>
        <rFont val="等线"/>
        <charset val="134"/>
      </rPr>
      <t xml:space="preserve">
2.完成AI编程工具链调研</t>
    </r>
    <r>
      <rPr>
        <sz val="11"/>
        <color rgb="FF000000"/>
        <rFont val="等线"/>
        <charset val="134"/>
      </rPr>
      <t xml:space="preserve">
【金山文档</t>
    </r>
    <r>
      <rPr>
        <sz val="11"/>
        <color rgb="FF000000"/>
        <rFont val="等线"/>
        <charset val="134"/>
      </rPr>
      <t xml:space="preserve"> |</t>
    </r>
    <r>
      <rPr>
        <sz val="11"/>
        <color rgb="FF000000"/>
        <rFont val="等线"/>
        <charset val="134"/>
      </rPr>
      <t xml:space="preserve"> WPS云文档】</t>
    </r>
    <r>
      <rPr>
        <sz val="11"/>
        <color rgb="FF000000"/>
        <rFont val="等线"/>
        <charset val="134"/>
      </rPr>
      <t xml:space="preserve"> 湖南高速信科AI编程实施项目管理工具表</t>
    </r>
    <r>
      <rPr>
        <u/>
        <sz val="11"/>
        <color rgb="FF175CEB"/>
        <rFont val="等线"/>
        <charset val="134"/>
      </rPr>
      <t xml:space="preserve">
https://365.kdocs.cn/l/cjIbgBprYcce</t>
    </r>
  </si>
  <si>
    <r>
      <rPr>
        <sz val="11"/>
        <color rgb="FF000000"/>
        <rFont val="等线"/>
        <charset val="134"/>
      </rPr>
      <t>1、完成工具链调研</t>
    </r>
    <r>
      <rPr>
        <u/>
        <sz val="11"/>
        <color rgb="FF175CEB"/>
        <rFont val="等线"/>
        <charset val="134"/>
      </rPr>
      <t>https://365.kdocs.cn/l/ckX2rVqm5DSx</t>
    </r>
    <r>
      <rPr>
        <sz val="11"/>
        <color rgb="FF000000"/>
        <rFont val="等线"/>
        <charset val="134"/>
      </rPr>
      <t xml:space="preserve">
2、完成本地编程模型Qwen3-Coder-30B-A3B-Instruct部署</t>
    </r>
  </si>
  <si>
    <r>
      <rPr>
        <b/>
        <sz val="11"/>
        <color rgb="FFFF0000"/>
        <rFont val="等线"/>
        <charset val="134"/>
      </rPr>
      <t>6月底：</t>
    </r>
    <r>
      <rPr>
        <sz val="11"/>
        <color rgb="FF000000"/>
        <rFont val="等线"/>
        <charset val="134"/>
      </rPr>
      <t xml:space="preserve">
      1、完成数据资产盘点级分类；
      2、结合9个业务场景梳理30个小模型应用需求方向和指标口径；
      3、完成大模型选型和技术路线确定
</t>
    </r>
    <r>
      <rPr>
        <b/>
        <sz val="11"/>
        <color rgb="FFFF0000"/>
        <rFont val="等线"/>
        <charset val="134"/>
      </rPr>
      <t>12月底：</t>
    </r>
    <r>
      <rPr>
        <sz val="11"/>
        <color rgb="FF000000"/>
        <rFont val="等线"/>
        <charset val="134"/>
      </rPr>
      <t xml:space="preserve">
      1、建立收费与路网场景训练数据收集
      2、落地收费与路网场景小模型，并开始试运行工作
      3、开展大模型初步训练</t>
    </r>
  </si>
  <si>
    <r>
      <rPr>
        <sz val="11"/>
        <color rgb="FF000000"/>
        <rFont val="等线"/>
        <charset val="134"/>
      </rPr>
      <t xml:space="preserve">3月底前:完成清单定版及报价收集
4月底前:完成上会\招采
</t>
    </r>
    <r>
      <rPr>
        <b/>
        <sz val="11"/>
        <color rgb="FFFF0000"/>
        <rFont val="等线"/>
        <charset val="134"/>
      </rPr>
      <t>5月底：</t>
    </r>
    <r>
      <rPr>
        <sz val="11"/>
        <color rgb="FF000000"/>
        <rFont val="等线"/>
        <charset val="134"/>
      </rPr>
      <t xml:space="preserve">完成样机
</t>
    </r>
    <r>
      <rPr>
        <b/>
        <sz val="11"/>
        <color rgb="FFFF0000"/>
        <rFont val="等线"/>
        <charset val="134"/>
      </rPr>
      <t>6月底：</t>
    </r>
    <r>
      <rPr>
        <sz val="11"/>
        <color rgb="FF000000"/>
        <rFont val="等线"/>
        <charset val="134"/>
      </rPr>
      <t>完成试点及优化</t>
    </r>
  </si>
  <si>
    <r>
      <rPr>
        <b/>
        <sz val="11"/>
        <color rgb="FFFF0000"/>
        <rFont val="等线"/>
        <charset val="134"/>
      </rPr>
      <t>3月底前：完成需求分析、评审</t>
    </r>
    <r>
      <rPr>
        <b/>
        <sz val="11"/>
        <color rgb="FFFF0000"/>
        <rFont val="等线"/>
        <charset val="134"/>
      </rPr>
      <t xml:space="preserve">
4月：生产环境在大运营完成试点</t>
    </r>
    <r>
      <rPr>
        <sz val="11"/>
        <color rgb="FF000000"/>
        <rFont val="等线"/>
        <charset val="134"/>
      </rPr>
      <t xml:space="preserve">
5月底前：完成开发、试点；
</t>
    </r>
    <r>
      <rPr>
        <b/>
        <sz val="11"/>
        <color rgb="FFFF0000"/>
        <rFont val="等线"/>
        <charset val="134"/>
      </rPr>
      <t>6月底前：</t>
    </r>
    <r>
      <rPr>
        <sz val="11"/>
        <color rgb="FF000000"/>
        <rFont val="等线"/>
        <charset val="134"/>
      </rPr>
      <t xml:space="preserve">完成优化     
 7月底前：  完成核心业务系统接入；
      </t>
    </r>
  </si>
  <si>
    <r>
      <rPr>
        <sz val="10"/>
        <color rgb="FF000000"/>
        <rFont val="等线"/>
        <charset val="134"/>
      </rPr>
      <t>业务系统统一整改</t>
    </r>
    <r>
      <rPr>
        <sz val="10"/>
        <color rgb="FF000000"/>
        <rFont val="等线"/>
        <charset val="134"/>
      </rPr>
      <t xml:space="preserve">
支撑人工智能数据采集与训练</t>
    </r>
  </si>
  <si>
    <r>
      <rPr>
        <sz val="10"/>
        <color rgb="FF000000"/>
        <rFont val="等线"/>
        <charset val="134"/>
      </rPr>
      <t>3月底前</t>
    </r>
    <r>
      <rPr>
        <sz val="10"/>
        <color rgb="FF000000"/>
        <rFont val="等线"/>
        <charset val="134"/>
      </rPr>
      <t xml:space="preserve">
•发布统一技术标准；</t>
    </r>
    <r>
      <rPr>
        <sz val="10"/>
        <color rgb="FF000000"/>
        <rFont val="等线"/>
        <charset val="134"/>
      </rPr>
      <t xml:space="preserve">
5月底前</t>
    </r>
    <r>
      <rPr>
        <sz val="10"/>
        <color rgb="FF000000"/>
        <rFont val="等线"/>
        <charset val="134"/>
      </rPr>
      <t xml:space="preserve">
•组织完成养护系统试点整改；</t>
    </r>
    <r>
      <rPr>
        <sz val="10"/>
        <color rgb="FF000000"/>
        <rFont val="等线"/>
        <charset val="134"/>
      </rPr>
      <t xml:space="preserve">
8月底前</t>
    </r>
    <r>
      <rPr>
        <sz val="10"/>
        <color rgb="FF000000"/>
        <rFont val="等线"/>
        <charset val="134"/>
      </rPr>
      <t xml:space="preserve">
组织实现养护过程AI数据训练，辅助决策数据生成	</t>
    </r>
    <r>
      <rPr>
        <sz val="10"/>
        <color rgb="FF000000"/>
        <rFont val="等线"/>
        <charset val="134"/>
      </rPr>
      <t xml:space="preserve">
9月底前</t>
    </r>
    <r>
      <rPr>
        <sz val="10"/>
        <color rgb="FF000000"/>
        <rFont val="等线"/>
        <charset val="134"/>
      </rPr>
      <t xml:space="preserve">
推进多业务系统接入；</t>
    </r>
    <r>
      <rPr>
        <sz val="10"/>
        <color rgb="FF000000"/>
        <rFont val="等线"/>
        <charset val="134"/>
      </rPr>
      <t xml:space="preserve">
扩展样本规模；</t>
    </r>
    <r>
      <rPr>
        <sz val="10"/>
        <color rgb="FF000000"/>
        <rFont val="等线"/>
        <charset val="134"/>
      </rPr>
      <t xml:space="preserve">
完成首批智能能力稳定运行。</t>
    </r>
    <r>
      <rPr>
        <sz val="10"/>
        <color rgb="FF000000"/>
        <rFont val="等线"/>
        <charset val="134"/>
      </rPr>
      <t xml:space="preserve">
12月底前：</t>
    </r>
    <r>
      <rPr>
        <sz val="10"/>
        <color rgb="FF000000"/>
        <rFont val="等线"/>
        <charset val="134"/>
      </rPr>
      <t xml:space="preserve">
•	推动跨系统智能应用；</t>
    </r>
    <r>
      <rPr>
        <sz val="10"/>
        <color rgb="FF000000"/>
        <rFont val="等线"/>
        <charset val="134"/>
      </rPr>
      <t xml:space="preserve">
•	构建数据驱动的管理闭环；</t>
    </r>
    <r>
      <rPr>
        <sz val="10"/>
        <color rgb="FF000000"/>
        <rFont val="等线"/>
        <charset val="134"/>
      </rPr>
      <t xml:space="preserve">
•	持续优化模型与应用效果。
</t>
    </r>
  </si>
  <si>
    <r>
      <rPr>
        <sz val="10"/>
        <color rgb="FF000000"/>
        <rFont val="等线"/>
        <charset val="134"/>
      </rPr>
      <t xml:space="preserve">预计
</t>
    </r>
    <r>
      <rPr>
        <b/>
        <sz val="10"/>
        <color rgb="FF000000"/>
        <rFont val="等线"/>
        <charset val="134"/>
      </rPr>
      <t>订单/合同额</t>
    </r>
  </si>
  <si>
    <r>
      <rPr>
        <b/>
        <sz val="10"/>
        <color rgb="FF000000"/>
        <rFont val="等线"/>
        <charset val="134"/>
      </rPr>
      <t>实际</t>
    </r>
    <r>
      <rPr>
        <b/>
        <sz val="10"/>
        <color rgb="FF000000"/>
        <rFont val="等线"/>
        <charset val="134"/>
      </rPr>
      <t xml:space="preserve">
订单/合同额</t>
    </r>
  </si>
  <si>
    <r>
      <rPr>
        <b/>
        <sz val="11"/>
        <color rgb="FF000000"/>
        <rFont val="等线"/>
        <charset val="134"/>
      </rPr>
      <t>汤昆</t>
    </r>
    <r>
      <rPr>
        <sz val="11"/>
        <color rgb="FF000000"/>
        <rFont val="等线"/>
        <charset val="134"/>
      </rPr>
      <t>桦</t>
    </r>
  </si>
  <si>
    <r>
      <t>二、</t>
    </r>
    <r>
      <rPr>
        <sz val="7"/>
        <color rgb="FF0F4761"/>
        <rFont val="宋体"/>
        <family val="1"/>
        <charset val="134"/>
      </rPr>
      <t>       </t>
    </r>
    <r>
      <rPr>
        <sz val="10"/>
        <color rgb="FF0F4761"/>
        <rFont val="宋体"/>
        <family val="3"/>
        <charset val="134"/>
      </rPr>
      <t xml:space="preserve"> 软件产品规划分析、创新能力建设</t>
    </r>
    <phoneticPr fontId="1" type="noConversion"/>
  </si>
  <si>
    <r>
      <t>(一)</t>
    </r>
    <r>
      <rPr>
        <sz val="7"/>
        <color rgb="FF0F4761"/>
        <rFont val="Times New Roman"/>
        <family val="1"/>
      </rPr>
      <t xml:space="preserve">      </t>
    </r>
    <r>
      <rPr>
        <sz val="10"/>
        <color rgb="FF0F4761"/>
        <rFont val="宋体"/>
        <family val="3"/>
        <charset val="134"/>
      </rPr>
      <t>软件产品规划能力建设：</t>
    </r>
  </si>
  <si>
    <r>
      <rPr>
        <sz val="10"/>
        <color rgb="FF172B4D"/>
        <rFont val="SimSun"/>
        <charset val="134"/>
      </rPr>
      <t>1、</t>
    </r>
    <r>
      <rPr>
        <sz val="7"/>
        <color rgb="FF172B4D"/>
        <rFont val="SimSun"/>
        <charset val="134"/>
      </rPr>
      <t> </t>
    </r>
    <r>
      <rPr>
        <sz val="10"/>
        <color rgb="FF172B4D"/>
        <rFont val="SimSun"/>
        <charset val="134"/>
      </rPr>
      <t>软件产品功能架构优化创新</t>
    </r>
  </si>
  <si>
    <r>
      <t>2、</t>
    </r>
    <r>
      <rPr>
        <sz val="7"/>
        <color rgb="FF0F4761"/>
        <rFont val="Times New Roman"/>
        <family val="1"/>
      </rPr>
      <t xml:space="preserve">  </t>
    </r>
    <r>
      <rPr>
        <sz val="10"/>
        <color rgb="FF0F4761"/>
        <rFont val="宋体"/>
        <family val="3"/>
        <charset val="134"/>
      </rPr>
      <t>产品路线图与优先级管理</t>
    </r>
  </si>
  <si>
    <r>
      <t>3、</t>
    </r>
    <r>
      <rPr>
        <sz val="7"/>
        <color rgb="FF0F4761"/>
        <rFont val="Times New Roman"/>
        <family val="1"/>
      </rPr>
      <t xml:space="preserve">  </t>
    </r>
    <r>
      <rPr>
        <sz val="10"/>
        <color rgb="FF0F4761"/>
        <rFont val="宋体"/>
        <family val="3"/>
        <charset val="134"/>
      </rPr>
      <t>用户需求分析与产品设计</t>
    </r>
  </si>
  <si>
    <r>
      <t>(二)</t>
    </r>
    <r>
      <rPr>
        <sz val="7"/>
        <color rgb="FF0F4761"/>
        <rFont val="Times New Roman"/>
        <family val="1"/>
      </rPr>
      <t xml:space="preserve">      </t>
    </r>
    <r>
      <rPr>
        <sz val="10"/>
        <color rgb="FF0F4761"/>
        <rFont val="宋体"/>
        <family val="3"/>
        <charset val="134"/>
      </rPr>
      <t>需求分析能力建设：</t>
    </r>
  </si>
  <si>
    <r>
      <t>1、</t>
    </r>
    <r>
      <rPr>
        <sz val="7"/>
        <color rgb="FF0F4761"/>
        <rFont val="Times New Roman"/>
        <family val="1"/>
      </rPr>
      <t xml:space="preserve">  </t>
    </r>
    <r>
      <rPr>
        <sz val="10"/>
        <color rgb="FF0F4761"/>
        <rFont val="宋体"/>
        <family val="3"/>
        <charset val="134"/>
      </rPr>
      <t>需求获取与沟通</t>
    </r>
  </si>
  <si>
    <r>
      <t>2、</t>
    </r>
    <r>
      <rPr>
        <sz val="7"/>
        <color rgb="FF0F4761"/>
        <rFont val="Times New Roman"/>
        <family val="1"/>
      </rPr>
      <t xml:space="preserve">  </t>
    </r>
    <r>
      <rPr>
        <sz val="10"/>
        <color rgb="FF0F4761"/>
        <rFont val="宋体"/>
        <family val="3"/>
        <charset val="134"/>
      </rPr>
      <t>需求分析与建模</t>
    </r>
  </si>
  <si>
    <r>
      <t>3、</t>
    </r>
    <r>
      <rPr>
        <sz val="7"/>
        <color rgb="FF0F4761"/>
        <rFont val="Times New Roman"/>
        <family val="1"/>
      </rPr>
      <t xml:space="preserve">  </t>
    </r>
    <r>
      <rPr>
        <sz val="10"/>
        <color rgb="FF0F4761"/>
        <rFont val="宋体"/>
        <family val="3"/>
        <charset val="134"/>
      </rPr>
      <t>需求变更管理</t>
    </r>
  </si>
  <si>
    <r>
      <t>4、</t>
    </r>
    <r>
      <rPr>
        <sz val="7"/>
        <color rgb="FF0F4761"/>
        <rFont val="Times New Roman"/>
        <family val="1"/>
      </rPr>
      <t xml:space="preserve">  </t>
    </r>
    <r>
      <rPr>
        <sz val="10"/>
        <color rgb="FF0F4761"/>
        <rFont val="宋体"/>
        <family val="3"/>
        <charset val="134"/>
      </rPr>
      <t> 需求追踪与溯源</t>
    </r>
  </si>
  <si>
    <r>
      <t>(一)</t>
    </r>
    <r>
      <rPr>
        <sz val="10"/>
        <color theme="1"/>
        <rFont val="宋体"/>
        <family val="3"/>
        <charset val="134"/>
      </rPr>
      <t xml:space="preserve"> 平台架构设计与优化：</t>
    </r>
  </si>
  <si>
    <r>
      <rPr>
        <sz val="10"/>
        <color rgb="FF000000"/>
        <rFont val="宋体"/>
        <charset val="134"/>
      </rPr>
      <t>（1)</t>
    </r>
    <r>
      <rPr>
        <sz val="10"/>
        <color rgb="FF000000"/>
        <rFont val="宋体"/>
        <charset val="134"/>
      </rPr>
      <t xml:space="preserve"> KPA 1： 对建设管理一体化平台的质量模块进行分库分表、架构优化升级。</t>
    </r>
  </si>
  <si>
    <r>
      <rPr>
        <sz val="10"/>
        <color rgb="FF000000"/>
        <rFont val="宋体"/>
        <charset val="134"/>
      </rPr>
      <t>（2)</t>
    </r>
    <r>
      <rPr>
        <sz val="10"/>
        <color rgb="FF000000"/>
        <rFont val="宋体"/>
        <charset val="134"/>
      </rPr>
      <t xml:space="preserve"> KPA 2： 对运营管养一体化平台的架构优化升级。</t>
    </r>
  </si>
  <si>
    <r>
      <t>(二)</t>
    </r>
    <r>
      <rPr>
        <sz val="10"/>
        <color theme="1"/>
        <rFont val="宋体"/>
        <family val="3"/>
        <charset val="134"/>
      </rPr>
      <t xml:space="preserve"> 代码质量管理：</t>
    </r>
  </si>
  <si>
    <r>
      <t>1、</t>
    </r>
    <r>
      <rPr>
        <sz val="10"/>
        <color theme="1"/>
        <rFont val="宋体"/>
        <family val="3"/>
        <charset val="134"/>
      </rPr>
      <t xml:space="preserve"> 目标： 保证代码质量，减少技术债务，降低维护成本。</t>
    </r>
  </si>
  <si>
    <r>
      <t>2、</t>
    </r>
    <r>
      <rPr>
        <sz val="10"/>
        <color theme="1"/>
        <rFont val="宋体"/>
        <family val="3"/>
        <charset val="134"/>
      </rPr>
      <t xml:space="preserve"> 措施：</t>
    </r>
  </si>
  <si>
    <r>
      <rPr>
        <sz val="10"/>
        <color rgb="FF000000"/>
        <rFont val="宋体"/>
        <charset val="134"/>
      </rPr>
      <t>（1)</t>
    </r>
    <r>
      <rPr>
        <sz val="10"/>
        <color rgb="FF000000"/>
        <rFont val="宋体"/>
        <charset val="134"/>
      </rPr>
      <t xml:space="preserve"> KPA 1：梳理建设管理一体化平台的关键代码场景，进行代码优化 。</t>
    </r>
  </si>
  <si>
    <r>
      <rPr>
        <sz val="10"/>
        <color rgb="FF000000"/>
        <rFont val="宋体"/>
        <charset val="134"/>
      </rPr>
      <t>（2)</t>
    </r>
    <r>
      <rPr>
        <sz val="10"/>
        <color rgb="FF000000"/>
        <rFont val="宋体"/>
        <charset val="134"/>
      </rPr>
      <t xml:space="preserve"> KPA 2： 梳理运营管养一体化平台的关键代码场景，进行代码优化。</t>
    </r>
  </si>
  <si>
    <r>
      <t>(三)</t>
    </r>
    <r>
      <rPr>
        <sz val="10"/>
        <color theme="1"/>
        <rFont val="宋体"/>
        <family val="3"/>
        <charset val="134"/>
      </rPr>
      <t xml:space="preserve"> 持续集成与持续交付（CI/CD）：</t>
    </r>
  </si>
  <si>
    <r>
      <rPr>
        <sz val="10"/>
        <color rgb="FF000000"/>
        <rFont val="宋体"/>
        <charset val="134"/>
      </rPr>
      <t>(四)</t>
    </r>
    <r>
      <rPr>
        <sz val="10"/>
        <color rgb="FF000000"/>
        <rFont val="宋体"/>
        <charset val="134"/>
      </rPr>
      <t xml:space="preserve"> 容器化和微服务架构：</t>
    </r>
  </si>
  <si>
    <r>
      <t>二、</t>
    </r>
    <r>
      <rPr>
        <sz val="7"/>
        <rFont val="Times New Roman"/>
        <family val="1"/>
      </rPr>
      <t xml:space="preserve">        </t>
    </r>
    <r>
      <rPr>
        <sz val="10"/>
        <rFont val="宋体"/>
        <family val="3"/>
        <charset val="134"/>
      </rPr>
      <t>项目群管理能力建设方面</t>
    </r>
  </si>
  <si>
    <r>
      <t>(一)</t>
    </r>
    <r>
      <rPr>
        <sz val="10"/>
        <rFont val="宋体"/>
        <family val="3"/>
        <charset val="134"/>
      </rPr>
      <t xml:space="preserve"> 项目群战略对齐：</t>
    </r>
  </si>
  <si>
    <r>
      <t>(二)</t>
    </r>
    <r>
      <rPr>
        <sz val="10"/>
        <rFont val="宋体"/>
        <family val="3"/>
        <charset val="134"/>
      </rPr>
      <t xml:space="preserve"> 项目群协调与整合：</t>
    </r>
  </si>
  <si>
    <r>
      <t>(三)</t>
    </r>
    <r>
      <rPr>
        <sz val="10"/>
        <rFont val="宋体"/>
        <family val="3"/>
        <charset val="134"/>
      </rPr>
      <t xml:space="preserve"> 资源（人、财、物、时间、文档数据、技术工具）优化与调配：</t>
    </r>
  </si>
  <si>
    <r>
      <t>(四)</t>
    </r>
    <r>
      <rPr>
        <sz val="10"/>
        <rFont val="宋体"/>
        <family val="3"/>
        <charset val="134"/>
      </rPr>
      <t xml:space="preserve"> 风险和问题管理：</t>
    </r>
  </si>
  <si>
    <r>
      <t>(五)</t>
    </r>
    <r>
      <rPr>
        <sz val="10"/>
        <rFont val="宋体"/>
        <family val="3"/>
        <charset val="134"/>
      </rPr>
      <t xml:space="preserve"> 绩效评估和监控：</t>
    </r>
  </si>
  <si>
    <r>
      <t>(六)</t>
    </r>
    <r>
      <rPr>
        <sz val="10"/>
        <rFont val="宋体"/>
        <family val="3"/>
        <charset val="134"/>
      </rPr>
      <t xml:space="preserve"> 沟通和利益相关方管理：</t>
    </r>
  </si>
  <si>
    <r>
      <t>(七)</t>
    </r>
    <r>
      <rPr>
        <sz val="10"/>
        <rFont val="宋体"/>
        <family val="3"/>
        <charset val="134"/>
      </rPr>
      <t xml:space="preserve"> 知识管理与经验分享：</t>
    </r>
  </si>
  <si>
    <r>
      <t>(八)</t>
    </r>
    <r>
      <rPr>
        <sz val="10"/>
        <rFont val="宋体"/>
        <family val="3"/>
        <charset val="134"/>
      </rPr>
      <t xml:space="preserve"> 灵活度和适应性：</t>
    </r>
  </si>
  <si>
    <r>
      <t>二、</t>
    </r>
    <r>
      <rPr>
        <sz val="7"/>
        <color rgb="FF0F4761"/>
        <rFont val="Times New Roman"/>
        <family val="1"/>
      </rPr>
      <t xml:space="preserve">        </t>
    </r>
    <r>
      <rPr>
        <sz val="10"/>
        <color rgb="FF0F4761"/>
        <rFont val="宋体"/>
        <family val="3"/>
        <charset val="134"/>
      </rPr>
      <t>商务能力建设方面</t>
    </r>
  </si>
  <si>
    <r>
      <t>(一)</t>
    </r>
    <r>
      <rPr>
        <sz val="7"/>
        <color rgb="FF0F4761"/>
        <rFont val="Times New Roman"/>
        <family val="1"/>
      </rPr>
      <t xml:space="preserve">        </t>
    </r>
    <r>
      <rPr>
        <sz val="10"/>
        <color rgb="FF0F4761"/>
        <rFont val="宋体"/>
        <family val="3"/>
        <charset val="134"/>
      </rPr>
      <t>战略规划：</t>
    </r>
  </si>
  <si>
    <r>
      <t>(二)</t>
    </r>
    <r>
      <rPr>
        <sz val="7"/>
        <color rgb="FF0F4761"/>
        <rFont val="Times New Roman"/>
        <family val="1"/>
      </rPr>
      <t xml:space="preserve">        </t>
    </r>
    <r>
      <rPr>
        <sz val="10"/>
        <color rgb="FF0F4761"/>
        <rFont val="宋体"/>
        <family val="3"/>
        <charset val="134"/>
      </rPr>
      <t>组织结构：</t>
    </r>
  </si>
  <si>
    <r>
      <rPr>
        <sz val="10"/>
        <color rgb="FF0F4761"/>
        <rFont val="宋体"/>
        <charset val="134"/>
      </rPr>
      <t>(三)</t>
    </r>
    <r>
      <rPr>
        <sz val="7"/>
        <color rgb="FF0F4761"/>
        <rFont val="Times New Roman"/>
      </rPr>
      <t xml:space="preserve">        </t>
    </r>
    <r>
      <rPr>
        <sz val="10"/>
        <color rgb="FF0F4761"/>
        <rFont val="宋体"/>
        <charset val="134"/>
      </rPr>
      <t>流程优化：</t>
    </r>
  </si>
  <si>
    <r>
      <rPr>
        <sz val="10"/>
        <color rgb="FF0F4761"/>
        <rFont val="宋体"/>
        <charset val="134"/>
      </rPr>
      <t>(四)</t>
    </r>
    <r>
      <rPr>
        <sz val="7"/>
        <color rgb="FF0F4761"/>
        <rFont val="Times New Roman"/>
      </rPr>
      <t xml:space="preserve">        </t>
    </r>
    <r>
      <rPr>
        <sz val="10"/>
        <color rgb="FF0F4761"/>
        <rFont val="宋体"/>
        <charset val="134"/>
      </rPr>
      <t>人才发展：</t>
    </r>
  </si>
  <si>
    <r>
      <rPr>
        <sz val="10"/>
        <color rgb="FF0F4761"/>
        <rFont val="宋体"/>
        <charset val="134"/>
      </rPr>
      <t>(五)</t>
    </r>
    <r>
      <rPr>
        <sz val="7"/>
        <color rgb="FF0F4761"/>
        <rFont val="Times New Roman"/>
      </rPr>
      <t xml:space="preserve">        </t>
    </r>
    <r>
      <rPr>
        <sz val="10"/>
        <color rgb="FF0F4761"/>
        <rFont val="宋体"/>
        <charset val="134"/>
      </rPr>
      <t>客户关系管理：</t>
    </r>
  </si>
  <si>
    <r>
      <rPr>
        <sz val="10"/>
        <color rgb="FF0F4761"/>
        <rFont val="宋体"/>
        <charset val="134"/>
      </rPr>
      <t>(六)</t>
    </r>
    <r>
      <rPr>
        <sz val="7"/>
        <color rgb="FF0F4761"/>
        <rFont val="Times New Roman"/>
      </rPr>
      <t xml:space="preserve">        </t>
    </r>
    <r>
      <rPr>
        <sz val="10"/>
        <color rgb="FF0F4761"/>
        <rFont val="宋体"/>
        <charset val="134"/>
      </rPr>
      <t>市场营销</t>
    </r>
  </si>
  <si>
    <r>
      <rPr>
        <sz val="10"/>
        <color rgb="FF0F4761"/>
        <rFont val="宋体"/>
        <charset val="134"/>
      </rPr>
      <t>(七)</t>
    </r>
    <r>
      <rPr>
        <sz val="7"/>
        <color rgb="FF0F4761"/>
        <rFont val="Times New Roman"/>
      </rPr>
      <t xml:space="preserve">        </t>
    </r>
    <r>
      <rPr>
        <sz val="10"/>
        <color rgb="FF0F4761"/>
        <rFont val="宋体"/>
        <charset val="134"/>
      </rPr>
      <t>合作伙伴关系：</t>
    </r>
  </si>
  <si>
    <r>
      <rPr>
        <sz val="10"/>
        <color rgb="FF0F4761"/>
        <rFont val="宋体"/>
        <charset val="134"/>
      </rPr>
      <t>(八)</t>
    </r>
    <r>
      <rPr>
        <sz val="7"/>
        <color rgb="FF0F4761"/>
        <rFont val="Times New Roman"/>
      </rPr>
      <t xml:space="preserve">        </t>
    </r>
    <r>
      <rPr>
        <sz val="10"/>
        <color rgb="FF0F4761"/>
        <rFont val="宋体"/>
        <charset val="134"/>
      </rPr>
      <t>技术支持：</t>
    </r>
  </si>
  <si>
    <r>
      <rPr>
        <sz val="10"/>
        <color rgb="FF0F4761"/>
        <rFont val="宋体"/>
        <charset val="134"/>
      </rPr>
      <t>(九)</t>
    </r>
    <r>
      <rPr>
        <sz val="7"/>
        <color rgb="FF0F4761"/>
        <rFont val="Times New Roman"/>
      </rPr>
      <t xml:space="preserve">        </t>
    </r>
    <r>
      <rPr>
        <sz val="10"/>
        <color rgb="FF0F4761"/>
        <rFont val="宋体"/>
        <charset val="134"/>
      </rPr>
      <t>风险管理：</t>
    </r>
  </si>
  <si>
    <r>
      <rPr>
        <sz val="10"/>
        <color rgb="FF0F4761"/>
        <rFont val="宋体"/>
        <charset val="134"/>
      </rPr>
      <t>(十)</t>
    </r>
    <r>
      <rPr>
        <sz val="7"/>
        <color rgb="FF0F4761"/>
        <rFont val="Times New Roman"/>
      </rPr>
      <t xml:space="preserve">        </t>
    </r>
    <r>
      <rPr>
        <sz val="10"/>
        <color rgb="FF0F4761"/>
        <rFont val="宋体"/>
        <charset val="134"/>
      </rPr>
      <t>绩效评估：</t>
    </r>
  </si>
  <si>
    <r>
      <t>二、</t>
    </r>
    <r>
      <rPr>
        <sz val="7"/>
        <color rgb="FF0F4761"/>
        <rFont val="Times New Roman"/>
        <family val="1"/>
      </rPr>
      <t xml:space="preserve">        </t>
    </r>
    <r>
      <rPr>
        <sz val="10"/>
        <color rgb="FF0F4761"/>
        <rFont val="宋体"/>
        <family val="3"/>
        <charset val="134"/>
      </rPr>
      <t>软件质量管控能力建设方面</t>
    </r>
  </si>
  <si>
    <r>
      <rPr>
        <sz val="10"/>
        <color rgb="FF0F4761"/>
        <rFont val="宋体"/>
        <charset val="134"/>
      </rPr>
      <t>(一)</t>
    </r>
    <r>
      <rPr>
        <sz val="7"/>
        <color rgb="FF0F4761"/>
        <rFont val="Times New Roman"/>
      </rPr>
      <t xml:space="preserve">        </t>
    </r>
    <r>
      <rPr>
        <sz val="10"/>
        <color rgb="FF0F4761"/>
        <rFont val="宋体"/>
        <charset val="134"/>
      </rPr>
      <t>自动化测试工具使用与推广</t>
    </r>
  </si>
  <si>
    <r>
      <t>(二)</t>
    </r>
    <r>
      <rPr>
        <sz val="7"/>
        <color rgb="FF0F4761"/>
        <rFont val="Times New Roman"/>
        <family val="1"/>
      </rPr>
      <t xml:space="preserve">        </t>
    </r>
    <r>
      <rPr>
        <sz val="10"/>
        <color rgb="FF0F4761"/>
        <rFont val="宋体"/>
        <family val="3"/>
        <charset val="134"/>
      </rPr>
      <t>测试环境和数据管理</t>
    </r>
  </si>
  <si>
    <r>
      <t>(三)</t>
    </r>
    <r>
      <rPr>
        <sz val="7"/>
        <color rgb="FF0F4761"/>
        <rFont val="Times New Roman"/>
        <family val="1"/>
      </rPr>
      <t xml:space="preserve">        </t>
    </r>
    <r>
      <rPr>
        <sz val="10"/>
        <color rgb="FF0F4761"/>
        <rFont val="宋体"/>
        <family val="3"/>
        <charset val="134"/>
      </rPr>
      <t>高效的测试用例设计与执行</t>
    </r>
  </si>
  <si>
    <r>
      <t>(四)</t>
    </r>
    <r>
      <rPr>
        <sz val="7"/>
        <color rgb="FF0F4761"/>
        <rFont val="Times New Roman"/>
        <family val="1"/>
      </rPr>
      <t xml:space="preserve">        </t>
    </r>
    <r>
      <rPr>
        <sz val="10"/>
        <color rgb="FF0F4761"/>
        <rFont val="宋体"/>
        <family val="3"/>
        <charset val="134"/>
      </rPr>
      <t>缺陷管理与分析</t>
    </r>
  </si>
  <si>
    <r>
      <t>(五)</t>
    </r>
    <r>
      <rPr>
        <sz val="7"/>
        <color rgb="FF0F4761"/>
        <rFont val="Times New Roman"/>
        <family val="1"/>
      </rPr>
      <t xml:space="preserve">        </t>
    </r>
    <r>
      <rPr>
        <sz val="10"/>
        <color rgb="FF0F4761"/>
        <rFont val="宋体"/>
        <family val="3"/>
        <charset val="134"/>
      </rPr>
      <t>性能测试与安全测试</t>
    </r>
  </si>
  <si>
    <r>
      <t>(一)</t>
    </r>
    <r>
      <rPr>
        <sz val="7"/>
        <color rgb="FF0F4761"/>
        <rFont val="Times New Roman"/>
        <family val="1"/>
      </rPr>
      <t xml:space="preserve">        </t>
    </r>
    <r>
      <rPr>
        <sz val="10"/>
        <color rgb="FF0F4761"/>
        <rFont val="宋体"/>
        <family val="3"/>
        <charset val="134"/>
      </rPr>
      <t>自动化测试工具引入与使用</t>
    </r>
  </si>
  <si>
    <r>
      <t>(一)</t>
    </r>
    <r>
      <rPr>
        <sz val="10"/>
        <color theme="1"/>
        <rFont val="宋体"/>
        <family val="3"/>
        <charset val="134"/>
      </rPr>
      <t xml:space="preserve"> 招聘与培养：</t>
    </r>
  </si>
  <si>
    <r>
      <t>（1)</t>
    </r>
    <r>
      <rPr>
        <sz val="10"/>
        <color theme="1"/>
        <rFont val="宋体"/>
        <family val="3"/>
        <charset val="134"/>
      </rPr>
      <t xml:space="preserve"> KPA 1： 每季度评估团队技能需求，制定招聘计划，并在月初发布。</t>
    </r>
  </si>
  <si>
    <r>
      <rPr>
        <sz val="10"/>
        <color rgb="FF000000"/>
        <rFont val="宋体"/>
        <charset val="134"/>
      </rPr>
      <t>（2)</t>
    </r>
    <r>
      <rPr>
        <sz val="10"/>
        <color rgb="FF000000"/>
        <rFont val="宋体"/>
        <charset val="134"/>
      </rPr>
      <t xml:space="preserve"> KPA 2： 建立内部培养计划，每季度评估潜在内部人才，提出晋升建议。</t>
    </r>
  </si>
  <si>
    <r>
      <t>（3)</t>
    </r>
    <r>
      <rPr>
        <sz val="10"/>
        <color theme="1"/>
        <rFont val="宋体"/>
        <family val="3"/>
        <charset val="134"/>
      </rPr>
      <t xml:space="preserve"> KPA 3： 与高校建立实习和合作关系，每年至少引入一名实习生。</t>
    </r>
  </si>
  <si>
    <r>
      <t>(二)</t>
    </r>
    <r>
      <rPr>
        <sz val="10"/>
        <color theme="1"/>
        <rFont val="宋体"/>
        <family val="3"/>
        <charset val="134"/>
      </rPr>
      <t xml:space="preserve">  组织结构设计：</t>
    </r>
  </si>
  <si>
    <r>
      <t>（1)</t>
    </r>
    <r>
      <rPr>
        <sz val="10"/>
        <color theme="1"/>
        <rFont val="宋体"/>
        <family val="3"/>
        <charset val="134"/>
      </rPr>
      <t xml:space="preserve"> KPA 1： 每半年评估组织结构效果，根据业务需要调整。</t>
    </r>
  </si>
  <si>
    <r>
      <rPr>
        <sz val="10"/>
        <color rgb="FF000000"/>
        <rFont val="宋体"/>
        <charset val="134"/>
      </rPr>
      <t>（2)</t>
    </r>
    <r>
      <rPr>
        <sz val="10"/>
        <color rgb="FF000000"/>
        <rFont val="宋体"/>
        <charset val="134"/>
      </rPr>
      <t xml:space="preserve"> KPA 2： 在组织调整中保持员工沟通的透明度，确保团队理解变化的原因</t>
    </r>
  </si>
  <si>
    <r>
      <t>(三)</t>
    </r>
    <r>
      <rPr>
        <sz val="10"/>
        <color theme="1"/>
        <rFont val="宋体"/>
        <family val="3"/>
        <charset val="134"/>
      </rPr>
      <t xml:space="preserve"> 团队建设：</t>
    </r>
  </si>
  <si>
    <r>
      <t>（1)</t>
    </r>
    <r>
      <rPr>
        <sz val="10"/>
        <color theme="1"/>
        <rFont val="宋体"/>
        <family val="3"/>
        <charset val="134"/>
      </rPr>
      <t xml:space="preserve"> KPA 1： 每季度组织一次团队建设活动，加强团队协作意识。</t>
    </r>
  </si>
  <si>
    <r>
      <t>（2)</t>
    </r>
    <r>
      <rPr>
        <sz val="10"/>
        <color theme="1"/>
        <rFont val="宋体"/>
        <family val="3"/>
        <charset val="134"/>
      </rPr>
      <t xml:space="preserve"> KPA 2： 制定团队内部沟通规范，每月进行一次内部沟通培训。</t>
    </r>
  </si>
  <si>
    <r>
      <t>（3)</t>
    </r>
    <r>
      <rPr>
        <sz val="10"/>
        <color theme="1"/>
        <rFont val="宋体"/>
        <family val="3"/>
        <charset val="134"/>
      </rPr>
      <t xml:space="preserve"> KPA 3： 建立团队分享平台，每季度鼓励成员分享成功经验和团队成果。</t>
    </r>
  </si>
  <si>
    <r>
      <t>(四)</t>
    </r>
    <r>
      <rPr>
        <sz val="10"/>
        <color theme="1"/>
        <rFont val="宋体"/>
        <family val="3"/>
        <charset val="134"/>
      </rPr>
      <t xml:space="preserve"> 技能培训：</t>
    </r>
  </si>
  <si>
    <r>
      <t>（1)</t>
    </r>
    <r>
      <rPr>
        <sz val="10"/>
        <color theme="1"/>
        <rFont val="宋体"/>
        <family val="3"/>
        <charset val="134"/>
      </rPr>
      <t xml:space="preserve"> KPA 1： 制定年度技能培训计划，覆盖项目管理、沟通技巧等方面。</t>
    </r>
  </si>
  <si>
    <r>
      <t>（2)</t>
    </r>
    <r>
      <rPr>
        <sz val="10"/>
        <color theme="1"/>
        <rFont val="宋体"/>
        <family val="3"/>
        <charset val="134"/>
      </rPr>
      <t xml:space="preserve"> KPA 2： 提供在线培训资源，鼓励团队成员根据个人需要学习。</t>
    </r>
  </si>
  <si>
    <r>
      <t>（3)</t>
    </r>
    <r>
      <rPr>
        <sz val="10"/>
        <color theme="1"/>
        <rFont val="宋体"/>
        <family val="3"/>
        <charset val="134"/>
      </rPr>
      <t xml:space="preserve"> KPA 3： 每季度对团队成员参与的培训进行效果评估，调整培训计划。</t>
    </r>
  </si>
  <si>
    <r>
      <t>(五)</t>
    </r>
    <r>
      <rPr>
        <sz val="10"/>
        <color theme="1"/>
        <rFont val="宋体"/>
        <family val="3"/>
        <charset val="134"/>
      </rPr>
      <t xml:space="preserve"> 绩效评估与激励：</t>
    </r>
  </si>
  <si>
    <r>
      <t>（1)</t>
    </r>
    <r>
      <rPr>
        <sz val="10"/>
        <color theme="1"/>
        <rFont val="宋体"/>
        <family val="3"/>
        <charset val="134"/>
      </rPr>
      <t xml:space="preserve"> KPA 1： 每月度进行一次绩效评估，根据绩效标准提供具体的反馈。</t>
    </r>
  </si>
  <si>
    <r>
      <t>（2)</t>
    </r>
    <r>
      <rPr>
        <sz val="10"/>
        <color theme="1"/>
        <rFont val="宋体"/>
        <family val="3"/>
        <charset val="134"/>
      </rPr>
      <t xml:space="preserve"> KPA 2： 制定激励计划，包括薪酬激励、晋升机会和特殊贡献奖励。</t>
    </r>
  </si>
  <si>
    <r>
      <t>（3)</t>
    </r>
    <r>
      <rPr>
        <sz val="10"/>
        <color theme="1"/>
        <rFont val="宋体"/>
        <family val="3"/>
        <charset val="134"/>
      </rPr>
      <t xml:space="preserve"> KPA 3： 每半年组织员工反馈会议，收集改进建议并调整激励机制。</t>
    </r>
  </si>
  <si>
    <r>
      <t>(六)</t>
    </r>
    <r>
      <rPr>
        <sz val="10"/>
        <color theme="1"/>
        <rFont val="宋体"/>
        <family val="3"/>
        <charset val="134"/>
      </rPr>
      <t xml:space="preserve"> 知识分享机制：</t>
    </r>
  </si>
  <si>
    <r>
      <t>（1)</t>
    </r>
    <r>
      <rPr>
        <sz val="7"/>
        <color theme="1"/>
        <rFont val="Times New Roman"/>
        <family val="1"/>
      </rPr>
      <t xml:space="preserve">        </t>
    </r>
    <r>
      <rPr>
        <sz val="10"/>
        <color theme="1"/>
        <rFont val="宋体"/>
        <family val="3"/>
        <charset val="134"/>
      </rPr>
      <t>KPA 1： 每月组织一次知识分享会议，激励团队成员分享项目经验和技术突破。</t>
    </r>
  </si>
  <si>
    <r>
      <t>（2)</t>
    </r>
    <r>
      <rPr>
        <sz val="7"/>
        <color theme="1"/>
        <rFont val="Times New Roman"/>
        <family val="1"/>
      </rPr>
      <t xml:space="preserve">        </t>
    </r>
    <r>
      <rPr>
        <sz val="10"/>
        <color theme="1"/>
        <rFont val="宋体"/>
        <family val="3"/>
        <charset val="134"/>
      </rPr>
      <t>KPA 2： 将知识分享纳入绩效考核，激发团队整体学习和创新能力。</t>
    </r>
  </si>
  <si>
    <r>
      <t>（3)</t>
    </r>
    <r>
      <rPr>
        <sz val="7"/>
        <color theme="1"/>
        <rFont val="Times New Roman"/>
        <family val="1"/>
      </rPr>
      <t xml:space="preserve">        </t>
    </r>
    <r>
      <rPr>
        <sz val="10"/>
        <color theme="1"/>
        <rFont val="宋体"/>
        <family val="3"/>
        <charset val="134"/>
      </rPr>
      <t>KPA 3： 建立在线知识库，每季度更新并推送给团队成员。</t>
    </r>
  </si>
  <si>
    <r>
      <t>二、</t>
    </r>
    <r>
      <rPr>
        <sz val="7"/>
        <rFont val="Times New Roman"/>
        <family val="1"/>
      </rPr>
      <t xml:space="preserve">        </t>
    </r>
    <r>
      <rPr>
        <sz val="10"/>
        <rFont val="宋体"/>
        <family val="3"/>
        <charset val="134"/>
      </rPr>
      <t>安全可控能力建设方面</t>
    </r>
  </si>
  <si>
    <r>
      <t>(一)</t>
    </r>
    <r>
      <rPr>
        <sz val="7"/>
        <rFont val="Times New Roman"/>
        <family val="1"/>
      </rPr>
      <t xml:space="preserve">      </t>
    </r>
    <r>
      <rPr>
        <sz val="10"/>
        <rFont val="宋体"/>
        <family val="3"/>
        <charset val="134"/>
      </rPr>
      <t>制定信息安全策略</t>
    </r>
  </si>
  <si>
    <r>
      <rPr>
        <sz val="10"/>
        <color rgb="FF000000"/>
        <rFont val="宋体"/>
        <charset val="134"/>
      </rPr>
      <t>围绕着信科的核心应用制定《敏感数据安全保护需求》、《项目发布脆弱性管理要求》策略，提升应用</t>
    </r>
    <r>
      <rPr>
        <b/>
        <sz val="10"/>
        <color rgb="FF000000"/>
        <rFont val="宋体"/>
        <charset val="134"/>
      </rPr>
      <t>发布时的数据安全性，降低漏洞风险。</t>
    </r>
  </si>
  <si>
    <r>
      <rPr>
        <sz val="10"/>
        <color rgb="FF000000"/>
        <rFont val="宋体"/>
        <charset val="134"/>
      </rPr>
      <t>1-3月: 调研应用在发布前存在的不安全行为。包含：数据存储、展示不规范、危险中间件使用。</t>
    </r>
    <r>
      <rPr>
        <b/>
        <sz val="10"/>
        <color rgb="FF000000"/>
        <rFont val="宋体"/>
        <charset val="134"/>
      </rPr>
      <t>输出需求目标与可落地方案</t>
    </r>
    <r>
      <rPr>
        <sz val="10"/>
        <color rgb="FF000000"/>
        <rFont val="宋体"/>
        <charset val="134"/>
      </rPr>
      <t>。
4-6月：根据方案输出《敏感数据安全保护需求》、《项目发布脆弱性管理要求》需求草案，要求方案结合实际业务流程与工具。
7-8月：审核策略文件，征集团队反馈并进行修订。
9-10月: 试运行后，通过内部审批程序、将最终版信息安全策略文件发布到内部平台。
11-12月: 定期更新文件，修改运行过程中不适配的地方。</t>
    </r>
  </si>
  <si>
    <r>
      <rPr>
        <sz val="10"/>
        <color rgb="FF000000"/>
        <rFont val="宋体"/>
        <charset val="134"/>
      </rPr>
      <t>(二)</t>
    </r>
    <r>
      <rPr>
        <sz val="7"/>
        <color rgb="FF000000"/>
        <rFont val="Times New Roman"/>
      </rPr>
      <t xml:space="preserve">      </t>
    </r>
    <r>
      <rPr>
        <sz val="10"/>
        <color rgb="FF000000"/>
        <rFont val="宋体"/>
        <charset val="134"/>
      </rPr>
      <t>软件开发安全</t>
    </r>
  </si>
  <si>
    <r>
      <rPr>
        <sz val="10"/>
        <color rgb="FF000000"/>
        <rFont val="宋体"/>
        <charset val="134"/>
      </rPr>
      <t>引入在SDL中引入静态安全检查，提升代码安全性，</t>
    </r>
    <r>
      <rPr>
        <b/>
        <sz val="10"/>
        <color rgb="FF000000"/>
        <rFont val="宋体"/>
        <charset val="134"/>
      </rPr>
      <t>降低代码中引入已知漏洞的中间件的风险</t>
    </r>
  </si>
  <si>
    <r>
      <rPr>
        <sz val="10"/>
        <color rgb="FF000000"/>
        <rFont val="宋体"/>
        <charset val="134"/>
      </rPr>
      <t>(三)</t>
    </r>
    <r>
      <rPr>
        <sz val="7"/>
        <color rgb="FF000000"/>
        <rFont val="Times New Roman"/>
      </rPr>
      <t xml:space="preserve">      </t>
    </r>
    <r>
      <rPr>
        <sz val="10"/>
        <color rgb="FF000000"/>
        <rFont val="宋体"/>
        <charset val="134"/>
      </rPr>
      <t>供应链安全</t>
    </r>
  </si>
  <si>
    <r>
      <rPr>
        <sz val="10"/>
        <color rgb="FF000000"/>
        <rFont val="宋体"/>
        <charset val="134"/>
      </rPr>
      <t>(四)</t>
    </r>
    <r>
      <rPr>
        <sz val="7"/>
        <color rgb="FF000000"/>
        <rFont val="Times New Roman"/>
      </rPr>
      <t xml:space="preserve">      </t>
    </r>
    <r>
      <rPr>
        <sz val="10"/>
        <color rgb="FF000000"/>
        <rFont val="宋体"/>
        <charset val="134"/>
      </rPr>
      <t>运维安全</t>
    </r>
  </si>
  <si>
    <r>
      <rPr>
        <sz val="10"/>
        <color rgb="FF000000"/>
        <rFont val="宋体"/>
        <charset val="134"/>
      </rPr>
      <t>(五)</t>
    </r>
    <r>
      <rPr>
        <sz val="7"/>
        <color rgb="FF000000"/>
        <rFont val="Times New Roman"/>
      </rPr>
      <t xml:space="preserve">      </t>
    </r>
    <r>
      <rPr>
        <sz val="10"/>
        <color rgb="FF000000"/>
        <rFont val="宋体"/>
        <charset val="134"/>
      </rPr>
      <t>技术更新和漏洞修复</t>
    </r>
  </si>
  <si>
    <r>
      <rPr>
        <sz val="10"/>
        <color rgb="FF000000"/>
        <rFont val="宋体"/>
        <charset val="134"/>
      </rPr>
      <t>1-4月: 引入专业安全团队或者设备，对系统进行漏洞扫描，确定修复的优先级。
5-6月: 执行漏洞修复计划，确保及时解决高优先级漏洞。
7-10月: 定期检查修复情况，更新修复计划，使得</t>
    </r>
    <r>
      <rPr>
        <sz val="10"/>
        <color rgb="FF000000"/>
        <rFont val="宋体"/>
        <charset val="134"/>
      </rPr>
      <t>漏洞闭环率达到70%，95%进入跟踪范围。</t>
    </r>
    <r>
      <rPr>
        <sz val="10"/>
        <color rgb="FF000000"/>
        <rFont val="宋体"/>
        <charset val="134"/>
      </rPr>
      <t xml:space="preserve">
11-12月: 总结年度漏洞修复效果，提出下一年度改进计划。</t>
    </r>
  </si>
  <si>
    <r>
      <rPr>
        <sz val="10"/>
        <color rgb="FF000000"/>
        <rFont val="宋体"/>
        <charset val="134"/>
      </rPr>
      <t>(六)</t>
    </r>
    <r>
      <rPr>
        <sz val="7"/>
        <color rgb="FF000000"/>
        <rFont val="Times New Roman"/>
      </rPr>
      <t xml:space="preserve">      </t>
    </r>
    <r>
      <rPr>
        <sz val="10"/>
        <color rgb="FF000000"/>
        <rFont val="宋体"/>
        <charset val="134"/>
      </rPr>
      <t>数据加密和隐私保护</t>
    </r>
  </si>
  <si>
    <r>
      <rPr>
        <sz val="10"/>
        <color rgb="FF000000"/>
        <rFont val="宋体"/>
        <charset val="134"/>
      </rPr>
      <t>(七)</t>
    </r>
    <r>
      <rPr>
        <sz val="7"/>
        <color rgb="FF000000"/>
        <rFont val="Times New Roman"/>
      </rPr>
      <t xml:space="preserve">      </t>
    </r>
    <r>
      <rPr>
        <sz val="10"/>
        <color rgb="FF000000"/>
        <rFont val="宋体"/>
        <charset val="134"/>
      </rPr>
      <t>员工培训</t>
    </r>
  </si>
  <si>
    <r>
      <rPr>
        <sz val="10"/>
        <color rgb="FF000000"/>
        <rFont val="宋体"/>
        <charset val="134"/>
      </rPr>
      <t>(八)</t>
    </r>
    <r>
      <rPr>
        <sz val="7"/>
        <color rgb="FF000000"/>
        <rFont val="Times New Roman"/>
      </rPr>
      <t xml:space="preserve">      </t>
    </r>
    <r>
      <rPr>
        <sz val="10"/>
        <color rgb="FF000000"/>
        <rFont val="宋体"/>
        <charset val="134"/>
      </rPr>
      <t>应急响应和业务连续性</t>
    </r>
  </si>
  <si>
    <r>
      <rPr>
        <sz val="10"/>
        <color rgb="FF000000"/>
        <rFont val="等线"/>
        <charset val="134"/>
      </rPr>
      <t>KPA1:在</t>
    </r>
    <r>
      <rPr>
        <sz val="10"/>
        <color rgb="FF000000"/>
        <rFont val="等线"/>
        <charset val="134"/>
      </rPr>
      <t>勒索，数据窃取，病毒落盘，外联，命令执行等方向上</t>
    </r>
    <r>
      <rPr>
        <sz val="10"/>
        <color rgb="FF000000"/>
        <rFont val="等线"/>
        <charset val="134"/>
      </rPr>
      <t>制定详细的应急响应计划，包括流程和通讯预案。</t>
    </r>
  </si>
  <si>
    <r>
      <rPr>
        <sz val="10"/>
        <color rgb="FF000000"/>
        <rFont val="宋体"/>
        <charset val="134"/>
      </rPr>
      <t>1-2月: 制定演练计划，明确演练的场景和目标。
3-4月: 组织第一次模拟演练，对阿里云上的</t>
    </r>
    <r>
      <rPr>
        <b/>
        <sz val="10"/>
        <color rgb="FF000000"/>
        <rFont val="宋体"/>
        <charset val="134"/>
      </rPr>
      <t>文件落盘，命令执行</t>
    </r>
    <r>
      <rPr>
        <sz val="10"/>
        <color rgb="FF000000"/>
        <rFont val="宋体"/>
        <charset val="134"/>
      </rPr>
      <t>的安全事件进行演练。
5-6月: 组织第二次模拟演练，对阿里云上的</t>
    </r>
    <r>
      <rPr>
        <b/>
        <sz val="10"/>
        <color rgb="FF000000"/>
        <rFont val="宋体"/>
        <charset val="134"/>
      </rPr>
      <t>文件泄露</t>
    </r>
    <r>
      <rPr>
        <sz val="10"/>
        <color rgb="FF000000"/>
        <rFont val="宋体"/>
        <charset val="134"/>
      </rPr>
      <t>安全事件进行演练。
7-9月: 实施第三次模拟演练，对</t>
    </r>
    <r>
      <rPr>
        <b/>
        <sz val="10"/>
        <color rgb="FF000000"/>
        <rFont val="宋体"/>
        <charset val="134"/>
      </rPr>
      <t>勒索事件，病毒落盘</t>
    </r>
    <r>
      <rPr>
        <sz val="10"/>
        <color rgb="FF000000"/>
        <rFont val="宋体"/>
        <charset val="134"/>
      </rPr>
      <t>进行演练。
10-12月: 实施第四次模拟演练，对挖矿事件进行演练持续。s
11-12月: 年度总结演练成果，制定下一年度的演练计划。</t>
    </r>
  </si>
  <si>
    <r>
      <t>二、</t>
    </r>
    <r>
      <rPr>
        <sz val="7"/>
        <rFont val="Times New Roman"/>
        <family val="1"/>
      </rPr>
      <t xml:space="preserve">        </t>
    </r>
    <r>
      <rPr>
        <sz val="10"/>
        <rFont val="宋体"/>
        <family val="3"/>
        <charset val="134"/>
      </rPr>
      <t>运维能力建设方面</t>
    </r>
  </si>
  <si>
    <r>
      <t>(一)</t>
    </r>
    <r>
      <rPr>
        <sz val="7"/>
        <color rgb="FF0F4761"/>
        <rFont val="Times New Roman"/>
        <family val="1"/>
      </rPr>
      <t xml:space="preserve">      </t>
    </r>
    <r>
      <rPr>
        <sz val="10"/>
        <color rgb="FF0F4761"/>
        <rFont val="宋体"/>
        <family val="3"/>
        <charset val="134"/>
      </rPr>
      <t>强化自动化工具、全面监控及演练</t>
    </r>
  </si>
  <si>
    <r>
      <t>(二)</t>
    </r>
    <r>
      <rPr>
        <sz val="7"/>
        <color rgb="FF0F4761"/>
        <rFont val="Times New Roman"/>
        <family val="1"/>
      </rPr>
      <t xml:space="preserve">      </t>
    </r>
    <r>
      <rPr>
        <sz val="10"/>
        <color rgb="FF0F4761"/>
        <rFont val="宋体"/>
        <family val="3"/>
        <charset val="134"/>
      </rPr>
      <t>提高故障响应速度和效率</t>
    </r>
  </si>
  <si>
    <r>
      <t>(三)</t>
    </r>
    <r>
      <rPr>
        <sz val="7"/>
        <color rgb="FF0F4761"/>
        <rFont val="Times New Roman"/>
        <family val="1"/>
      </rPr>
      <t xml:space="preserve">      </t>
    </r>
    <r>
      <rPr>
        <sz val="10"/>
        <color rgb="FF0F4761"/>
        <rFont val="宋体"/>
        <family val="3"/>
        <charset val="134"/>
      </rPr>
      <t>提高系统稳定性和可用性</t>
    </r>
  </si>
  <si>
    <r>
      <t>二、</t>
    </r>
    <r>
      <rPr>
        <sz val="7"/>
        <rFont val="Times New Roman"/>
        <family val="1"/>
      </rPr>
      <t xml:space="preserve">        </t>
    </r>
    <r>
      <rPr>
        <sz val="10"/>
        <rFont val="宋体"/>
        <family val="3"/>
        <charset val="134"/>
      </rPr>
      <t>持续交付能力建设方面</t>
    </r>
  </si>
  <si>
    <r>
      <t>(一)</t>
    </r>
    <r>
      <rPr>
        <sz val="7"/>
        <rFont val="Times New Roman"/>
        <family val="1"/>
      </rPr>
      <t xml:space="preserve">     </t>
    </r>
    <r>
      <rPr>
        <sz val="10"/>
        <rFont val="宋体"/>
        <family val="3"/>
        <charset val="134"/>
      </rPr>
      <t>实现自动化构建、测试和部署，提高交付流程效率</t>
    </r>
  </si>
  <si>
    <r>
      <t>(二)</t>
    </r>
    <r>
      <rPr>
        <sz val="7"/>
        <rFont val="Times New Roman"/>
        <family val="1"/>
      </rPr>
      <t xml:space="preserve">     </t>
    </r>
    <r>
      <rPr>
        <sz val="10"/>
        <rFont val="宋体"/>
        <family val="3"/>
        <charset val="134"/>
      </rPr>
      <t>提高团队对持续交付流程的接受度和使用率</t>
    </r>
  </si>
  <si>
    <r>
      <rPr>
        <sz val="12"/>
        <color rgb="FF374151"/>
        <rFont val="Söhne"/>
        <family val="3"/>
        <charset val="134"/>
      </rPr>
      <t>编程ci/cd操作手册，从基础使用到深入使用。</t>
    </r>
    <r>
      <rPr>
        <sz val="10"/>
        <color rgb="FF000000"/>
        <rFont val="宋体"/>
        <family val="3"/>
        <charset val="134"/>
      </rPr>
      <t xml:space="preserve">
</t>
    </r>
  </si>
  <si>
    <r>
      <rPr>
        <sz val="11"/>
        <color rgb="FF000000"/>
        <rFont val="等线"/>
        <family val="3"/>
        <charset val="134"/>
      </rPr>
      <t xml:space="preserve">考虑引用devops商业版软件,由厂商提供专业的培训技术和操作手册,
</t>
    </r>
    <r>
      <rPr>
        <sz val="12"/>
        <color rgb="FF374151"/>
        <rFont val="Söhne"/>
        <family val="3"/>
        <charset val="134"/>
      </rPr>
      <t>1-2月: 制定培训计划，编程在线文档。</t>
    </r>
    <r>
      <rPr>
        <sz val="12"/>
        <color rgb="FF374151"/>
        <rFont val="Söhne"/>
        <family val="3"/>
        <charset val="134"/>
      </rPr>
      <t xml:space="preserve">
3-4月: ci/cd入门和基础使用培训(代码拉取,代码构建,生成容器镜像,版本发布)。</t>
    </r>
    <r>
      <rPr>
        <sz val="12"/>
        <color rgb="FF374151"/>
        <rFont val="Söhne"/>
        <family val="3"/>
        <charset val="134"/>
      </rPr>
      <t xml:space="preserve">
5-10月: ci/cd具体使用培训,能熟悉掌握ci/cd使用(实现增量更新,并行构建,滚动更新,自动回滚)。
</t>
    </r>
  </si>
  <si>
    <r>
      <t>(三)</t>
    </r>
    <r>
      <rPr>
        <sz val="7"/>
        <rFont val="Times New Roman"/>
        <family val="1"/>
      </rPr>
      <t xml:space="preserve">     </t>
    </r>
    <r>
      <rPr>
        <sz val="10"/>
        <rFont val="宋体"/>
        <family val="3"/>
        <charset val="134"/>
      </rPr>
      <t>确保每次提交都能进行持续交付</t>
    </r>
  </si>
  <si>
    <r>
      <t>(四)</t>
    </r>
    <r>
      <rPr>
        <sz val="7"/>
        <rFont val="Times New Roman"/>
        <family val="1"/>
      </rPr>
      <t xml:space="preserve">     </t>
    </r>
    <r>
      <rPr>
        <sz val="10"/>
        <rFont val="宋体"/>
        <family val="3"/>
        <charset val="134"/>
      </rPr>
      <t>实施持续监控和反馈机制</t>
    </r>
  </si>
  <si>
    <r>
      <t>二、</t>
    </r>
    <r>
      <rPr>
        <sz val="7"/>
        <color rgb="FF0F4761"/>
        <rFont val="Times New Roman"/>
        <family val="1"/>
      </rPr>
      <t xml:space="preserve">        </t>
    </r>
    <r>
      <rPr>
        <sz val="10"/>
        <color rgb="FF0F4761"/>
        <rFont val="宋体"/>
        <family val="3"/>
        <charset val="134"/>
      </rPr>
      <t>知识共享能力建设方面</t>
    </r>
  </si>
  <si>
    <r>
      <t>(一)</t>
    </r>
    <r>
      <rPr>
        <sz val="7"/>
        <color rgb="FF0F4761"/>
        <rFont val="Times New Roman"/>
        <family val="1"/>
      </rPr>
      <t xml:space="preserve">        </t>
    </r>
    <r>
      <rPr>
        <sz val="10"/>
        <color rgb="FF0F4761"/>
        <rFont val="宋体"/>
        <family val="3"/>
        <charset val="134"/>
      </rPr>
      <t>知识共享平台建设：</t>
    </r>
  </si>
  <si>
    <r>
      <t>(二)</t>
    </r>
    <r>
      <rPr>
        <sz val="7"/>
        <color rgb="FF0F4761"/>
        <rFont val="Times New Roman"/>
        <family val="1"/>
      </rPr>
      <t xml:space="preserve">        </t>
    </r>
    <r>
      <rPr>
        <sz val="10"/>
        <color rgb="FF0F4761"/>
        <rFont val="宋体"/>
        <family val="3"/>
        <charset val="134"/>
      </rPr>
      <t>跨团队协作和沟通：</t>
    </r>
  </si>
  <si>
    <r>
      <rPr>
        <sz val="11"/>
        <color rgb="FF000000"/>
        <rFont val="等线"/>
        <family val="3"/>
        <charset val="134"/>
      </rPr>
      <t>1月：制定全年团建计划</t>
    </r>
    <r>
      <rPr>
        <sz val="11"/>
        <color rgb="FFDE3C36"/>
        <rFont val="等线"/>
        <family val="3"/>
        <charset val="134"/>
      </rPr>
      <t>(技能竞赛）</t>
    </r>
    <r>
      <rPr>
        <sz val="11"/>
        <color rgb="FF000000"/>
        <rFont val="等线"/>
        <family val="3"/>
        <charset val="134"/>
      </rPr>
      <t>。
2-6月：由智行研发中心和质量管控中心组织上半年团建活动。
7-11月：由智建研发中心和智管研发中心共同组织下半年团建活动。
12月：由部长和副部长组织年终团建活动。</t>
    </r>
  </si>
  <si>
    <r>
      <t>(三)</t>
    </r>
    <r>
      <rPr>
        <sz val="7"/>
        <color rgb="FF0F4761"/>
        <rFont val="Times New Roman"/>
        <family val="1"/>
      </rPr>
      <t xml:space="preserve">        </t>
    </r>
    <r>
      <rPr>
        <sz val="10"/>
        <color rgb="FF0F4761"/>
        <rFont val="宋体"/>
        <family val="3"/>
        <charset val="134"/>
      </rPr>
      <t>团队学习和技能提升：</t>
    </r>
  </si>
  <si>
    <r>
      <t>(四)</t>
    </r>
    <r>
      <rPr>
        <sz val="7"/>
        <color rgb="FF0F4761"/>
        <rFont val="Times New Roman"/>
        <family val="1"/>
      </rPr>
      <t xml:space="preserve">        </t>
    </r>
    <r>
      <rPr>
        <sz val="10"/>
        <color rgb="FF0F4761"/>
        <rFont val="宋体"/>
        <family val="3"/>
        <charset val="134"/>
      </rPr>
      <t>项目经验和教训分享：</t>
    </r>
  </si>
  <si>
    <r>
      <t>(五)</t>
    </r>
    <r>
      <rPr>
        <sz val="7"/>
        <color rgb="FF0F4761"/>
        <rFont val="Times New Roman"/>
        <family val="1"/>
      </rPr>
      <t xml:space="preserve">        </t>
    </r>
    <r>
      <rPr>
        <sz val="10"/>
        <color rgb="FF0F4761"/>
        <rFont val="宋体"/>
        <family val="3"/>
        <charset val="134"/>
      </rPr>
      <t>技术创新和实践：</t>
    </r>
  </si>
  <si>
    <r>
      <t>(六)</t>
    </r>
    <r>
      <rPr>
        <sz val="7"/>
        <color rgb="FF0F4761"/>
        <rFont val="Times New Roman"/>
        <family val="1"/>
      </rPr>
      <t xml:space="preserve">        </t>
    </r>
    <r>
      <rPr>
        <sz val="10"/>
        <color rgb="FF0F4761"/>
        <rFont val="宋体"/>
        <family val="3"/>
        <charset val="134"/>
      </rPr>
      <t>业务理解和对接：</t>
    </r>
  </si>
  <si>
    <t>完成</t>
    <phoneticPr fontId="155" type="noConversion"/>
  </si>
  <si>
    <t>暂停</t>
    <phoneticPr fontId="15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</si>
</sst>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yyyy&quot;年&quot;m&quot;月&quot;;@"/>
    <numFmt numFmtId="177" formatCode="0.00_ "/>
    <numFmt numFmtId="178" formatCode="#,##0.00_ "/>
    <numFmt numFmtId="179" formatCode="#,##0_ "/>
    <numFmt numFmtId="180" formatCode="0_);[Red]\(0\)"/>
    <numFmt numFmtId="181" formatCode="0.00_);[Red]\(0.00\)"/>
    <numFmt numFmtId="182" formatCode="0;[Red]0"/>
  </numFmts>
  <fonts count="157">
    <font>
      <sz val="11"/>
      <color theme="1"/>
      <name val="等线"/>
      <family val="2"/>
      <charset val="134"/>
      <scheme val="minor"/>
    </font>
    <font>
      <sz val="10"/>
      <color rgb="FF000000"/>
      <name val="Segoe UI Symbol"/>
      <family val="2"/>
    </font>
    <font>
      <b/>
      <sz val="18"/>
      <color theme="1"/>
      <name val="等线"/>
      <charset val="134"/>
    </font>
    <font>
      <b/>
      <sz val="8"/>
      <name val="等线"/>
      <charset val="134"/>
    </font>
    <font>
      <sz val="9"/>
      <name val="等线"/>
      <charset val="134"/>
    </font>
    <font>
      <b/>
      <sz val="11"/>
      <color theme="1"/>
      <name val="等线"/>
      <family val="3"/>
      <charset val="134"/>
      <scheme val="minor"/>
    </font>
    <font>
      <b/>
      <sz val="11"/>
      <name val="等线"/>
      <charset val="134"/>
    </font>
    <font>
      <b/>
      <sz val="11"/>
      <name val="等线"/>
      <family val="3"/>
      <charset val="134"/>
      <scheme val="minor"/>
    </font>
    <font>
      <b/>
      <sz val="11"/>
      <color theme="1"/>
      <name val="等线"/>
      <charset val="134"/>
    </font>
    <font>
      <sz val="11"/>
      <color rgb="FF000000"/>
      <name val="等线"/>
      <family val="2"/>
      <charset val="134"/>
      <scheme val="minor"/>
    </font>
    <font>
      <b/>
      <sz val="11"/>
      <color rgb="FFFF0000"/>
      <name val="等线"/>
      <charset val="134"/>
    </font>
    <font>
      <b/>
      <sz val="11"/>
      <color rgb="FFFF0000"/>
      <name val="等线"/>
      <family val="2"/>
      <charset val="134"/>
      <scheme val="minor"/>
    </font>
    <font>
      <sz val="11"/>
      <color rgb="FF000000"/>
      <name val="等线"/>
      <charset val="134"/>
    </font>
    <font>
      <b/>
      <sz val="11"/>
      <color rgb="FF000000"/>
      <name val="等线"/>
      <charset val="134"/>
    </font>
    <font>
      <sz val="11"/>
      <color rgb="FF000000"/>
      <name val="等线"/>
      <charset val="134"/>
    </font>
    <font>
      <sz val="11"/>
      <color rgb="FF000000"/>
      <name val="等线"/>
      <family val="2"/>
      <charset val="134"/>
      <scheme val="minor"/>
    </font>
    <font>
      <sz val="11"/>
      <color rgb="FF000000"/>
      <name val="等线"/>
      <charset val="134"/>
    </font>
    <font>
      <sz val="11"/>
      <name val="等线"/>
      <charset val="134"/>
    </font>
    <font>
      <sz val="11"/>
      <color theme="1"/>
      <name val="等线"/>
      <family val="2"/>
      <charset val="134"/>
      <scheme val="minor"/>
    </font>
    <font>
      <sz val="11"/>
      <color theme="1"/>
      <name val="等线"/>
      <charset val="134"/>
    </font>
    <font>
      <sz val="11"/>
      <color theme="1"/>
      <name val="等线"/>
      <charset val="134"/>
    </font>
    <font>
      <b/>
      <sz val="11"/>
      <color theme="1"/>
      <name val="等线"/>
      <charset val="134"/>
    </font>
    <font>
      <sz val="11"/>
      <color theme="1"/>
      <name val="等线"/>
      <family val="2"/>
      <charset val="134"/>
      <scheme val="minor"/>
    </font>
    <font>
      <sz val="11"/>
      <name val="等线"/>
      <charset val="134"/>
    </font>
    <font>
      <sz val="11"/>
      <name val="等线"/>
      <family val="2"/>
      <charset val="134"/>
      <scheme val="minor"/>
    </font>
    <font>
      <sz val="11"/>
      <color rgb="FFFF0000"/>
      <name val="等线"/>
      <family val="2"/>
      <charset val="134"/>
      <scheme val="minor"/>
    </font>
    <font>
      <sz val="11"/>
      <color rgb="FFFF0000"/>
      <name val="等线"/>
      <family val="2"/>
      <charset val="134"/>
    </font>
    <font>
      <sz val="11"/>
      <color rgb="FF000000"/>
      <name val="等线"/>
      <family val="2"/>
      <charset val="134"/>
    </font>
    <font>
      <sz val="11"/>
      <color rgb="FF000000"/>
      <name val="等线"/>
      <charset val="134"/>
    </font>
    <font>
      <sz val="11"/>
      <color rgb="FFFF0000"/>
      <name val="等线"/>
      <charset val="134"/>
    </font>
    <font>
      <sz val="11"/>
      <color theme="1"/>
      <name val="等线"/>
      <charset val="134"/>
    </font>
    <font>
      <sz val="11"/>
      <name val="等线"/>
      <charset val="134"/>
    </font>
    <font>
      <sz val="11"/>
      <name val="等线"/>
      <charset val="134"/>
    </font>
    <font>
      <sz val="11"/>
      <color rgb="FFFF0000"/>
      <name val="等线"/>
      <charset val="134"/>
    </font>
    <font>
      <sz val="11"/>
      <color theme="1"/>
      <name val="等线"/>
      <charset val="134"/>
    </font>
    <font>
      <sz val="11"/>
      <color rgb="FF000000"/>
      <name val="等线"/>
      <charset val="134"/>
    </font>
    <font>
      <sz val="11"/>
      <name val="等线"/>
      <charset val="134"/>
    </font>
    <font>
      <b/>
      <sz val="11"/>
      <color rgb="FFFF0000"/>
      <name val="等线"/>
      <charset val="134"/>
    </font>
    <font>
      <sz val="11"/>
      <name val="等线"/>
      <charset val="134"/>
    </font>
    <font>
      <sz val="11"/>
      <color theme="1"/>
      <name val="等线"/>
      <charset val="134"/>
    </font>
    <font>
      <sz val="12"/>
      <color theme="1"/>
      <name val="等线"/>
      <charset val="134"/>
    </font>
    <font>
      <sz val="12"/>
      <name val="等线"/>
      <charset val="134"/>
    </font>
    <font>
      <b/>
      <sz val="14"/>
      <color theme="1"/>
      <name val="等线"/>
      <charset val="134"/>
    </font>
    <font>
      <b/>
      <sz val="11"/>
      <color rgb="FF000000"/>
      <name val="等线"/>
      <charset val="134"/>
    </font>
    <font>
      <sz val="11"/>
      <color rgb="FF000000"/>
      <name val="等线"/>
      <family val="2"/>
      <charset val="134"/>
      <scheme val="minor"/>
    </font>
    <font>
      <sz val="11"/>
      <name val="等线"/>
      <charset val="134"/>
    </font>
    <font>
      <sz val="11"/>
      <color rgb="FF000000"/>
      <name val="等线"/>
      <charset val="134"/>
    </font>
    <font>
      <b/>
      <sz val="11"/>
      <name val="等线"/>
      <charset val="134"/>
    </font>
    <font>
      <sz val="11"/>
      <name val="等线"/>
      <charset val="134"/>
    </font>
    <font>
      <sz val="11"/>
      <name val="等线"/>
      <charset val="134"/>
    </font>
    <font>
      <sz val="11"/>
      <name val="等线"/>
      <family val="2"/>
      <charset val="134"/>
      <scheme val="minor"/>
    </font>
    <font>
      <b/>
      <sz val="16"/>
      <color theme="1"/>
      <name val="等线"/>
      <charset val="134"/>
    </font>
    <font>
      <b/>
      <sz val="12"/>
      <color theme="1"/>
      <name val="等线"/>
      <charset val="134"/>
    </font>
    <font>
      <sz val="11"/>
      <color theme="1"/>
      <name val="等线"/>
      <family val="2"/>
      <charset val="134"/>
    </font>
    <font>
      <sz val="11"/>
      <name val="等线"/>
      <charset val="134"/>
    </font>
    <font>
      <sz val="11"/>
      <name val="等线"/>
      <charset val="134"/>
    </font>
    <font>
      <sz val="11"/>
      <name val="等线"/>
      <family val="2"/>
      <charset val="134"/>
    </font>
    <font>
      <b/>
      <sz val="11"/>
      <color rgb="FFFF0000"/>
      <name val="等线"/>
      <family val="2"/>
      <charset val="134"/>
    </font>
    <font>
      <sz val="11"/>
      <name val="等线"/>
      <charset val="134"/>
    </font>
    <font>
      <sz val="11"/>
      <color rgb="FFFF0000"/>
      <name val="等线"/>
      <charset val="134"/>
    </font>
    <font>
      <sz val="12"/>
      <color rgb="FF000000"/>
      <name val="等线"/>
      <charset val="134"/>
    </font>
    <font>
      <sz val="14"/>
      <color rgb="FF000000"/>
      <name val="等线"/>
      <charset val="134"/>
    </font>
    <font>
      <sz val="10"/>
      <name val="等线"/>
      <charset val="134"/>
    </font>
    <font>
      <sz val="9"/>
      <name val="等线"/>
      <charset val="134"/>
    </font>
    <font>
      <sz val="9"/>
      <color rgb="FF000000"/>
      <name val="等线"/>
      <charset val="134"/>
    </font>
    <font>
      <sz val="24"/>
      <name val="黑体"/>
      <family val="3"/>
      <charset val="134"/>
    </font>
    <font>
      <sz val="12"/>
      <name val="宋体"/>
      <charset val="134"/>
    </font>
    <font>
      <b/>
      <sz val="12"/>
      <name val="宋体"/>
      <charset val="134"/>
    </font>
    <font>
      <sz val="11"/>
      <name val="宋体"/>
      <charset val="134"/>
    </font>
    <font>
      <sz val="11"/>
      <name val="宋体"/>
      <charset val="134"/>
    </font>
    <font>
      <sz val="11"/>
      <color rgb="FFFF0000"/>
      <name val="等线"/>
      <charset val="134"/>
    </font>
    <font>
      <b/>
      <sz val="11"/>
      <color theme="1"/>
      <name val="等线"/>
      <family val="3"/>
      <charset val="134"/>
    </font>
    <font>
      <b/>
      <sz val="16"/>
      <color theme="1"/>
      <name val="等线"/>
      <family val="3"/>
      <charset val="134"/>
      <scheme val="minor"/>
    </font>
    <font>
      <b/>
      <sz val="12"/>
      <color theme="1"/>
      <name val="等线"/>
      <family val="3"/>
      <charset val="134"/>
      <scheme val="minor"/>
    </font>
    <font>
      <b/>
      <sz val="11"/>
      <color theme="1"/>
      <name val="等线"/>
      <family val="2"/>
      <charset val="134"/>
      <scheme val="minor"/>
    </font>
    <font>
      <sz val="11"/>
      <color theme="1"/>
      <name val="等线"/>
      <family val="2"/>
      <charset val="134"/>
      <scheme val="minor"/>
    </font>
    <font>
      <b/>
      <sz val="16"/>
      <color theme="1"/>
      <name val="等线"/>
      <family val="2"/>
      <charset val="134"/>
      <scheme val="minor"/>
    </font>
    <font>
      <b/>
      <sz val="12"/>
      <name val="等线"/>
      <charset val="134"/>
    </font>
    <font>
      <b/>
      <sz val="11"/>
      <color rgb="FFFF0000"/>
      <name val="等线"/>
      <family val="2"/>
      <charset val="134"/>
      <scheme val="minor"/>
    </font>
    <font>
      <sz val="11"/>
      <color rgb="FFFF0000"/>
      <name val="等线"/>
      <family val="2"/>
      <charset val="134"/>
      <scheme val="minor"/>
    </font>
    <font>
      <sz val="11"/>
      <color rgb="FF000000"/>
      <name val="等线"/>
      <family val="2"/>
      <charset val="134"/>
      <scheme val="minor"/>
    </font>
    <font>
      <sz val="11"/>
      <color rgb="FFFF0000"/>
      <name val="等线"/>
      <family val="2"/>
      <charset val="134"/>
      <scheme val="minor"/>
    </font>
    <font>
      <b/>
      <sz val="11"/>
      <color theme="1"/>
      <name val="等线"/>
      <family val="2"/>
      <charset val="134"/>
    </font>
    <font>
      <b/>
      <sz val="11"/>
      <color rgb="FF000000"/>
      <name val="等线"/>
      <family val="2"/>
      <charset val="134"/>
      <scheme val="minor"/>
    </font>
    <font>
      <sz val="11"/>
      <name val="等线"/>
      <charset val="134"/>
    </font>
    <font>
      <sz val="11"/>
      <color theme="1"/>
      <name val="等线"/>
      <charset val="134"/>
    </font>
    <font>
      <sz val="11"/>
      <color theme="1"/>
      <name val="等线"/>
      <family val="2"/>
      <charset val="134"/>
    </font>
    <font>
      <sz val="11"/>
      <name val="等线"/>
      <charset val="134"/>
    </font>
    <font>
      <b/>
      <sz val="16"/>
      <color theme="1"/>
      <name val="等线"/>
      <charset val="134"/>
    </font>
    <font>
      <b/>
      <sz val="16"/>
      <name val="SimSun"/>
      <charset val="134"/>
    </font>
    <font>
      <b/>
      <sz val="10"/>
      <name val="等线"/>
      <charset val="134"/>
    </font>
    <font>
      <b/>
      <sz val="12"/>
      <name val="等线"/>
      <family val="3"/>
      <charset val="134"/>
      <scheme val="minor"/>
    </font>
    <font>
      <b/>
      <sz val="12"/>
      <name val="等线"/>
      <family val="3"/>
      <charset val="134"/>
    </font>
    <font>
      <b/>
      <sz val="12"/>
      <name val="等线"/>
      <charset val="134"/>
    </font>
    <font>
      <sz val="12"/>
      <color rgb="FFFF0000"/>
      <name val="等线"/>
      <charset val="134"/>
    </font>
    <font>
      <b/>
      <sz val="10"/>
      <name val="等线"/>
      <family val="3"/>
      <charset val="134"/>
      <scheme val="minor"/>
    </font>
    <font>
      <b/>
      <sz val="10"/>
      <color rgb="FFDE3C36"/>
      <name val="等线"/>
      <charset val="134"/>
    </font>
    <font>
      <sz val="10"/>
      <color rgb="FFFF0000"/>
      <name val="等线"/>
      <charset val="134"/>
    </font>
    <font>
      <sz val="11"/>
      <name val="等线"/>
      <family val="3"/>
      <charset val="134"/>
      <scheme val="minor"/>
    </font>
    <font>
      <sz val="11"/>
      <name val="等线"/>
      <family val="3"/>
      <charset val="134"/>
      <scheme val="minor"/>
    </font>
    <font>
      <sz val="11"/>
      <name val="等线"/>
      <family val="3"/>
      <charset val="134"/>
      <scheme val="minor"/>
    </font>
    <font>
      <b/>
      <sz val="11"/>
      <name val="等线"/>
      <family val="2"/>
      <charset val="134"/>
      <scheme val="minor"/>
    </font>
    <font>
      <sz val="11"/>
      <name val="等线"/>
      <family val="2"/>
      <charset val="134"/>
      <scheme val="minor"/>
    </font>
    <font>
      <sz val="12"/>
      <name val="等线"/>
      <family val="2"/>
      <charset val="134"/>
      <scheme val="minor"/>
    </font>
    <font>
      <sz val="12"/>
      <name val="等线"/>
      <charset val="134"/>
    </font>
    <font>
      <sz val="11"/>
      <name val="等线"/>
      <charset val="134"/>
    </font>
    <font>
      <sz val="11"/>
      <name val="等线"/>
      <charset val="134"/>
    </font>
    <font>
      <sz val="12"/>
      <color rgb="FF000000"/>
      <name val="等线"/>
      <charset val="134"/>
    </font>
    <font>
      <b/>
      <sz val="11"/>
      <color rgb="FFFF0000"/>
      <name val="等线"/>
      <charset val="134"/>
    </font>
    <font>
      <sz val="12"/>
      <color rgb="FFFF0000"/>
      <name val="等线"/>
      <charset val="134"/>
    </font>
    <font>
      <b/>
      <sz val="12"/>
      <color rgb="FFFF0000"/>
      <name val="等线"/>
      <charset val="134"/>
    </font>
    <font>
      <sz val="11"/>
      <color rgb="FFFF0000"/>
      <name val="等线"/>
      <charset val="134"/>
    </font>
    <font>
      <b/>
      <sz val="10"/>
      <color rgb="FFFF0000"/>
      <name val="等线"/>
      <charset val="134"/>
    </font>
    <font>
      <b/>
      <sz val="11"/>
      <name val="等线"/>
      <family val="3"/>
      <charset val="134"/>
    </font>
    <font>
      <sz val="11"/>
      <name val="等线"/>
      <family val="2"/>
      <charset val="134"/>
    </font>
    <font>
      <b/>
      <sz val="11"/>
      <color rgb="FF172B4D"/>
      <name val="Segoe UI"/>
      <family val="2"/>
    </font>
    <font>
      <b/>
      <sz val="10"/>
      <color theme="1"/>
      <name val="等线"/>
      <family val="3"/>
      <charset val="134"/>
      <scheme val="minor"/>
    </font>
    <font>
      <sz val="10"/>
      <color rgb="FF0F4761"/>
      <name val="宋体"/>
      <family val="3"/>
      <charset val="134"/>
    </font>
    <font>
      <sz val="10"/>
      <color rgb="FF172B4D"/>
      <name val="宋体"/>
      <family val="3"/>
      <charset val="134"/>
    </font>
    <font>
      <sz val="10"/>
      <color rgb="FF172B4D"/>
      <name val="SimSun"/>
      <family val="3"/>
      <charset val="134"/>
    </font>
    <font>
      <sz val="10"/>
      <color theme="1"/>
      <name val="宋体"/>
      <family val="3"/>
      <charset val="134"/>
    </font>
    <font>
      <sz val="10"/>
      <name val="宋体"/>
      <family val="3"/>
      <charset val="134"/>
    </font>
    <font>
      <sz val="11"/>
      <name val="等线"/>
      <family val="2"/>
      <charset val="134"/>
      <scheme val="minor"/>
    </font>
    <font>
      <sz val="10"/>
      <name val="等线"/>
      <family val="2"/>
      <charset val="134"/>
      <scheme val="minor"/>
    </font>
    <font>
      <sz val="10"/>
      <color rgb="FF000000"/>
      <name val="等线"/>
      <family val="2"/>
      <charset val="134"/>
      <scheme val="minor"/>
    </font>
    <font>
      <sz val="10"/>
      <name val="宋体"/>
      <family val="2"/>
      <charset val="134"/>
    </font>
    <font>
      <sz val="11"/>
      <name val="等线"/>
      <family val="2"/>
      <charset val="134"/>
    </font>
    <font>
      <sz val="10"/>
      <color rgb="FF000000"/>
      <name val="宋体"/>
      <family val="3"/>
      <charset val="134"/>
    </font>
    <font>
      <sz val="12"/>
      <color theme="1"/>
      <name val="等线"/>
      <family val="2"/>
      <charset val="134"/>
      <scheme val="minor"/>
    </font>
    <font>
      <sz val="12"/>
      <color rgb="FF000000"/>
      <name val="SimSun"/>
      <charset val="134"/>
    </font>
    <font>
      <b/>
      <sz val="12"/>
      <color rgb="FF000000"/>
      <name val="SimSun"/>
      <charset val="134"/>
    </font>
    <font>
      <sz val="16"/>
      <name val="SimSun"/>
      <charset val="134"/>
    </font>
    <font>
      <sz val="10"/>
      <color theme="1"/>
      <name val="等线"/>
      <family val="2"/>
      <charset val="134"/>
      <scheme val="minor"/>
    </font>
    <font>
      <u/>
      <sz val="11"/>
      <color rgb="FF175CEB"/>
      <name val="等线"/>
      <charset val="134"/>
    </font>
    <font>
      <b/>
      <sz val="11"/>
      <color rgb="FFFF0000"/>
      <name val="微软雅黑"/>
      <family val="2"/>
      <charset val="134"/>
    </font>
    <font>
      <sz val="11"/>
      <color rgb="FF000000"/>
      <name val="微软雅黑"/>
      <family val="2"/>
      <charset val="134"/>
    </font>
    <font>
      <u/>
      <sz val="11"/>
      <color rgb="FF175CEB"/>
      <name val="微软雅黑"/>
      <family val="2"/>
      <charset val="134"/>
    </font>
    <font>
      <sz val="9"/>
      <color rgb="FFDE3C36"/>
      <name val="等线"/>
      <charset val="134"/>
    </font>
    <font>
      <sz val="9"/>
      <color rgb="FFFF0000"/>
      <name val="等线"/>
      <charset val="134"/>
    </font>
    <font>
      <sz val="10"/>
      <color rgb="FF000000"/>
      <name val="等线"/>
      <charset val="134"/>
    </font>
    <font>
      <b/>
      <sz val="10"/>
      <color rgb="FF000000"/>
      <name val="等线"/>
      <charset val="134"/>
    </font>
    <font>
      <sz val="7"/>
      <color rgb="FF0F4761"/>
      <name val="宋体"/>
      <family val="1"/>
      <charset val="134"/>
    </font>
    <font>
      <sz val="7"/>
      <color rgb="FF0F4761"/>
      <name val="Times New Roman"/>
      <family val="1"/>
    </font>
    <font>
      <sz val="10"/>
      <color rgb="FF172B4D"/>
      <name val="SimSun"/>
      <charset val="134"/>
    </font>
    <font>
      <sz val="7"/>
      <color rgb="FF172B4D"/>
      <name val="SimSun"/>
      <charset val="134"/>
    </font>
    <font>
      <sz val="10"/>
      <color rgb="FF000000"/>
      <name val="宋体"/>
      <charset val="134"/>
    </font>
    <font>
      <sz val="7"/>
      <name val="Times New Roman"/>
      <family val="1"/>
    </font>
    <font>
      <sz val="10"/>
      <color rgb="FF0F4761"/>
      <name val="宋体"/>
      <charset val="134"/>
    </font>
    <font>
      <sz val="7"/>
      <color rgb="FF0F4761"/>
      <name val="Times New Roman"/>
    </font>
    <font>
      <sz val="7"/>
      <color theme="1"/>
      <name val="Times New Roman"/>
      <family val="1"/>
    </font>
    <font>
      <b/>
      <sz val="10"/>
      <color rgb="FF000000"/>
      <name val="宋体"/>
      <charset val="134"/>
    </font>
    <font>
      <sz val="7"/>
      <color rgb="FF000000"/>
      <name val="Times New Roman"/>
    </font>
    <font>
      <sz val="12"/>
      <color rgb="FF374151"/>
      <name val="Söhne"/>
      <family val="3"/>
      <charset val="134"/>
    </font>
    <font>
      <sz val="11"/>
      <color rgb="FF000000"/>
      <name val="等线"/>
      <family val="3"/>
      <charset val="134"/>
    </font>
    <font>
      <sz val="11"/>
      <color rgb="FFDE3C36"/>
      <name val="等线"/>
      <family val="3"/>
      <charset val="134"/>
    </font>
    <font>
      <sz val="9"/>
      <name val="等线"/>
      <family val="2"/>
      <charset val="134"/>
      <scheme val="minor"/>
    </font>
    <font>
      <sz val="11"/>
      <name val="等线"/>
      <family val="3"/>
      <charset val="134"/>
    </font>
  </fonts>
  <fills count="41">
    <fill>
      <patternFill patternType="none"/>
    </fill>
    <fill>
      <patternFill patternType="gray125"/>
    </fill>
    <fill>
      <patternFill patternType="none"/>
    </fill>
    <fill>
      <patternFill patternType="solid">
        <fgColor rgb="FFDDEBF7"/>
        <bgColor auto="1"/>
      </patternFill>
    </fill>
    <fill>
      <patternFill patternType="solid">
        <fgColor rgb="FFDDEBF7"/>
        <bgColor auto="1"/>
      </patternFill>
    </fill>
    <fill>
      <patternFill patternType="solid">
        <fgColor rgb="FFFFC000"/>
      </patternFill>
    </fill>
    <fill>
      <patternFill patternType="none"/>
    </fill>
    <fill>
      <patternFill patternType="solid">
        <fgColor rgb="FF00B050"/>
      </patternFill>
    </fill>
    <fill>
      <patternFill patternType="none"/>
    </fill>
    <fill>
      <patternFill patternType="none">
        <fgColor auto="1"/>
        <bgColor auto="1"/>
      </patternFill>
    </fill>
    <fill>
      <patternFill patternType="none">
        <fgColor auto="1"/>
        <bgColor auto="1"/>
      </patternFill>
    </fill>
    <fill>
      <patternFill patternType="solid">
        <fgColor rgb="FFFFFF00"/>
      </patternFill>
    </fill>
    <fill>
      <patternFill patternType="none"/>
    </fill>
    <fill>
      <patternFill patternType="solid">
        <fgColor rgb="FFFF0000"/>
      </patternFill>
    </fill>
    <fill>
      <patternFill patternType="solid">
        <fgColor rgb="FFFFFFFF"/>
        <bgColor auto="1"/>
      </patternFill>
    </fill>
    <fill>
      <patternFill patternType="none">
        <fgColor rgb="FFFFFF00"/>
      </patternFill>
    </fill>
    <fill>
      <patternFill patternType="solid">
        <fgColor rgb="FF9DC3E6"/>
        <bgColor auto="1"/>
      </patternFill>
    </fill>
    <fill>
      <patternFill patternType="solid">
        <fgColor rgb="FF70AD47"/>
        <bgColor auto="1"/>
      </patternFill>
    </fill>
    <fill>
      <patternFill patternType="solid">
        <fgColor rgb="FFFFFFFF"/>
        <bgColor auto="1"/>
      </patternFill>
    </fill>
    <fill>
      <patternFill patternType="solid">
        <fgColor rgb="FFE5F6FF"/>
      </patternFill>
    </fill>
    <fill>
      <patternFill patternType="solid">
        <fgColor rgb="FF98D7B6"/>
      </patternFill>
    </fill>
    <fill>
      <patternFill patternType="solid">
        <fgColor rgb="FFF88825"/>
      </patternFill>
    </fill>
    <fill>
      <patternFill patternType="solid">
        <fgColor rgb="FFF88825"/>
      </patternFill>
    </fill>
    <fill>
      <patternFill patternType="solid">
        <fgColor rgb="FFFFFFFF"/>
      </patternFill>
    </fill>
    <fill>
      <patternFill patternType="solid">
        <fgColor rgb="FFFFFFFF"/>
      </patternFill>
    </fill>
    <fill>
      <patternFill patternType="solid">
        <fgColor rgb="FF8CDDFA"/>
      </patternFill>
    </fill>
    <fill>
      <patternFill patternType="solid">
        <fgColor rgb="FF8CDDFA"/>
      </patternFill>
    </fill>
    <fill>
      <patternFill patternType="solid">
        <fgColor rgb="FFC7DCFF"/>
      </patternFill>
    </fill>
    <fill>
      <patternFill patternType="solid">
        <fgColor rgb="FFC7DCFF"/>
      </patternFill>
    </fill>
    <fill>
      <patternFill patternType="solid">
        <fgColor rgb="FF8CDDFA"/>
      </patternFill>
    </fill>
    <fill>
      <patternFill patternType="none">
        <fgColor auto="1"/>
        <bgColor auto="1"/>
      </patternFill>
    </fill>
    <fill>
      <patternFill patternType="solid">
        <fgColor rgb="FFFFFFFF"/>
      </patternFill>
    </fill>
    <fill>
      <patternFill patternType="solid">
        <fgColor rgb="FFFFFFFF"/>
      </patternFill>
    </fill>
    <fill>
      <patternFill patternType="solid">
        <fgColor rgb="FF00B0F0"/>
      </patternFill>
    </fill>
    <fill>
      <patternFill patternType="solid">
        <fgColor rgb="FF92D050"/>
      </patternFill>
    </fill>
    <fill>
      <patternFill patternType="solid">
        <fgColor rgb="FF92D050"/>
      </patternFill>
    </fill>
    <fill>
      <patternFill patternType="solid">
        <fgColor theme="0"/>
        <bgColor indexed="64"/>
      </patternFill>
    </fill>
    <fill>
      <patternFill patternType="solid">
        <fgColor theme="2"/>
        <bgColor indexed="64"/>
      </patternFill>
    </fill>
    <fill>
      <patternFill patternType="none"/>
    </fill>
    <fill>
      <patternFill patternType="solid">
        <fgColor rgb="FFE7E6E6"/>
        <bgColor auto="1"/>
      </patternFill>
    </fill>
    <fill>
      <patternFill patternType="none">
        <fgColor rgb="FF92D050"/>
      </patternFill>
    </fill>
  </fills>
  <borders count="98">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right/>
      <top style="thin">
        <color rgb="FF000000"/>
      </top>
      <bottom/>
      <diagonal/>
    </border>
    <border>
      <left/>
      <right/>
      <top style="thin">
        <color rgb="FF000000"/>
      </top>
      <bottom/>
      <diagonal/>
    </border>
    <border>
      <left style="thin">
        <color rgb="FF000000"/>
      </left>
      <right/>
      <top/>
      <bottom/>
      <diagonal/>
    </border>
    <border>
      <left/>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indexed="64"/>
      </left>
      <right/>
      <top/>
      <bottom/>
      <diagonal/>
    </border>
    <border>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right/>
      <top/>
      <bottom/>
      <diagonal/>
    </border>
    <border>
      <left/>
      <right style="thin">
        <color indexed="64"/>
      </right>
      <top/>
      <bottom/>
      <diagonal/>
    </border>
    <border diagonalUp="1" diagonalDown="1">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Up="1" diagonalDown="1">
      <left/>
      <right/>
      <top/>
      <bottom/>
      <diagonal/>
    </border>
    <border diagonalUp="1" diagonalDown="1">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style="thin">
        <color rgb="FF000000"/>
      </left>
      <right/>
      <top/>
      <bottom/>
      <diagonal/>
    </border>
    <border>
      <left style="thin">
        <color rgb="FF000000"/>
      </left>
      <right/>
      <top/>
      <bottom/>
      <diagonal/>
    </border>
    <border>
      <left/>
      <right/>
      <top/>
      <bottom/>
      <diagonal/>
    </border>
  </borders>
  <cellStyleXfs count="1">
    <xf numFmtId="0" fontId="0" fillId="0" borderId="0">
      <alignment vertical="center"/>
    </xf>
  </cellStyleXfs>
  <cellXfs count="893">
    <xf numFmtId="0" fontId="0" fillId="0" borderId="0" xfId="0">
      <alignment vertical="center"/>
    </xf>
    <xf numFmtId="0" fontId="2" fillId="2" borderId="0" xfId="0" applyFont="1" applyBorder="1" applyAlignment="1">
      <alignment horizontal="center" vertical="center"/>
    </xf>
    <xf numFmtId="0" fontId="2" fillId="2" borderId="1" xfId="0" applyFont="1" applyBorder="1" applyAlignment="1">
      <alignment horizontal="center" vertical="center"/>
    </xf>
    <xf numFmtId="176" fontId="3" fillId="3" borderId="0" xfId="0" applyNumberFormat="1" applyFont="1" applyFill="1" applyBorder="1" applyAlignment="1">
      <alignment horizontal="center" vertical="center"/>
    </xf>
    <xf numFmtId="0" fontId="4" fillId="3" borderId="0" xfId="0" applyFont="1" applyFill="1" applyBorder="1" applyAlignment="1">
      <alignment horizontal="center" vertical="center" wrapText="1"/>
    </xf>
    <xf numFmtId="176" fontId="3" fillId="3" borderId="0" xfId="0" applyNumberFormat="1" applyFont="1" applyFill="1" applyBorder="1" applyAlignment="1">
      <alignment horizontal="center" vertical="center" wrapText="1"/>
    </xf>
    <xf numFmtId="0" fontId="5" fillId="2" borderId="2" xfId="0" applyFont="1" applyBorder="1" applyAlignment="1">
      <alignment horizontal="left" vertical="center"/>
    </xf>
    <xf numFmtId="0" fontId="6" fillId="2" borderId="3" xfId="0" applyFont="1" applyBorder="1" applyAlignment="1">
      <alignment vertical="center" wrapText="1"/>
    </xf>
    <xf numFmtId="0" fontId="7" fillId="2" borderId="2" xfId="0" applyFont="1" applyBorder="1" applyAlignment="1">
      <alignment vertical="center" wrapText="1"/>
    </xf>
    <xf numFmtId="0" fontId="8" fillId="2" borderId="3" xfId="0" applyFont="1" applyBorder="1" applyAlignment="1">
      <alignment vertical="center" wrapText="1"/>
    </xf>
    <xf numFmtId="0" fontId="8" fillId="2" borderId="3" xfId="0" applyFont="1" applyBorder="1">
      <alignment vertical="center"/>
    </xf>
    <xf numFmtId="0" fontId="8" fillId="2" borderId="1" xfId="0" applyFont="1" applyBorder="1">
      <alignment vertical="center"/>
    </xf>
    <xf numFmtId="0" fontId="5" fillId="2" borderId="4" xfId="0" applyFont="1" applyBorder="1">
      <alignment vertical="center"/>
    </xf>
    <xf numFmtId="0" fontId="4" fillId="4" borderId="5" xfId="0" applyFont="1" applyFill="1" applyBorder="1" applyAlignment="1">
      <alignment horizontal="center" vertical="center"/>
    </xf>
    <xf numFmtId="0" fontId="4" fillId="4" borderId="5" xfId="0" applyFont="1" applyFill="1" applyBorder="1" applyAlignment="1">
      <alignment horizontal="center" vertical="center" wrapText="1"/>
    </xf>
    <xf numFmtId="0" fontId="9" fillId="2" borderId="6" xfId="0" applyFont="1" applyBorder="1" applyAlignment="1">
      <alignment horizontal="center" vertical="center"/>
    </xf>
    <xf numFmtId="0" fontId="10" fillId="2" borderId="1" xfId="0" applyFont="1" applyBorder="1" applyAlignment="1">
      <alignment vertical="center" wrapText="1"/>
    </xf>
    <xf numFmtId="0" fontId="11" fillId="2" borderId="2" xfId="0" applyFont="1" applyBorder="1" applyAlignment="1">
      <alignment vertical="center" wrapText="1"/>
    </xf>
    <xf numFmtId="0" fontId="12" fillId="5" borderId="7" xfId="0" applyFont="1" applyFill="1" applyBorder="1" applyAlignment="1">
      <alignment vertical="center" wrapText="1"/>
    </xf>
    <xf numFmtId="0" fontId="12" fillId="2" borderId="7" xfId="0" applyFont="1" applyBorder="1" applyAlignment="1">
      <alignment vertical="center" wrapText="1"/>
    </xf>
    <xf numFmtId="0" fontId="13" fillId="2" borderId="8" xfId="0" applyFont="1" applyBorder="1">
      <alignment vertical="center"/>
    </xf>
    <xf numFmtId="0" fontId="14" fillId="2" borderId="8" xfId="0" applyFont="1" applyBorder="1">
      <alignment vertical="center"/>
    </xf>
    <xf numFmtId="0" fontId="15" fillId="2" borderId="6" xfId="0" applyFont="1" applyBorder="1">
      <alignment vertical="center"/>
    </xf>
    <xf numFmtId="0" fontId="15" fillId="2" borderId="9" xfId="0" applyFont="1" applyBorder="1">
      <alignment vertical="center"/>
    </xf>
    <xf numFmtId="0" fontId="16" fillId="6" borderId="7" xfId="0" applyFont="1" applyFill="1" applyBorder="1" applyAlignment="1">
      <alignment vertical="center" wrapText="1"/>
    </xf>
    <xf numFmtId="0" fontId="16" fillId="6" borderId="7" xfId="0" applyFont="1" applyFill="1" applyBorder="1">
      <alignment vertical="center"/>
    </xf>
    <xf numFmtId="0" fontId="17" fillId="6" borderId="7" xfId="0" applyFont="1" applyFill="1" applyBorder="1" applyAlignment="1">
      <alignment vertical="center" wrapText="1"/>
    </xf>
    <xf numFmtId="0" fontId="16" fillId="6" borderId="0" xfId="0" applyFont="1" applyFill="1" applyBorder="1" applyAlignment="1">
      <alignment vertical="center" wrapText="1"/>
    </xf>
    <xf numFmtId="0" fontId="16" fillId="2" borderId="7" xfId="0" applyFont="1" applyBorder="1">
      <alignment vertical="center"/>
    </xf>
    <xf numFmtId="0" fontId="16" fillId="6" borderId="10" xfId="0" applyFont="1" applyFill="1" applyBorder="1" applyAlignment="1">
      <alignment vertical="center" wrapText="1"/>
    </xf>
    <xf numFmtId="0" fontId="18" fillId="2" borderId="6" xfId="0" applyFont="1" applyBorder="1" applyAlignment="1">
      <alignment horizontal="center" vertical="center"/>
    </xf>
    <xf numFmtId="0" fontId="10" fillId="2" borderId="11" xfId="0" applyFont="1" applyBorder="1" applyAlignment="1">
      <alignment vertical="center" wrapText="1"/>
    </xf>
    <xf numFmtId="0" fontId="18" fillId="2" borderId="6" xfId="0" applyFont="1" applyBorder="1">
      <alignment vertical="center"/>
    </xf>
    <xf numFmtId="0" fontId="19" fillId="2" borderId="7" xfId="0" applyFont="1" applyBorder="1" applyAlignment="1">
      <alignment vertical="center" wrapText="1"/>
    </xf>
    <xf numFmtId="0" fontId="20" fillId="2" borderId="7" xfId="0" applyFont="1" applyBorder="1" applyAlignment="1">
      <alignment vertical="center" wrapText="1"/>
    </xf>
    <xf numFmtId="0" fontId="21" fillId="2" borderId="8" xfId="0" applyFont="1" applyBorder="1">
      <alignment vertical="center"/>
    </xf>
    <xf numFmtId="0" fontId="22" fillId="2" borderId="7" xfId="0" applyFont="1" applyBorder="1">
      <alignment vertical="center"/>
    </xf>
    <xf numFmtId="0" fontId="22" fillId="2" borderId="12" xfId="0" applyFont="1" applyBorder="1">
      <alignment vertical="center"/>
    </xf>
    <xf numFmtId="0" fontId="23" fillId="6" borderId="5" xfId="0" applyFont="1" applyFill="1" applyBorder="1" applyAlignment="1">
      <alignment vertical="center" wrapText="1"/>
    </xf>
    <xf numFmtId="0" fontId="0" fillId="6" borderId="5" xfId="0" applyFill="1" applyBorder="1" applyAlignment="1">
      <alignment vertical="center" wrapText="1"/>
    </xf>
    <xf numFmtId="0" fontId="0" fillId="6" borderId="5" xfId="0" applyFill="1" applyBorder="1">
      <alignment vertical="center"/>
    </xf>
    <xf numFmtId="0" fontId="0" fillId="6" borderId="12" xfId="0" applyFill="1" applyBorder="1">
      <alignment vertical="center"/>
    </xf>
    <xf numFmtId="0" fontId="0" fillId="6" borderId="7" xfId="0" applyFill="1" applyBorder="1">
      <alignment vertical="center"/>
    </xf>
    <xf numFmtId="0" fontId="0" fillId="6" borderId="7" xfId="0" applyFill="1" applyBorder="1" applyAlignment="1">
      <alignment vertical="center" wrapText="1"/>
    </xf>
    <xf numFmtId="0" fontId="0" fillId="2" borderId="7" xfId="0" applyBorder="1">
      <alignment vertical="center"/>
    </xf>
    <xf numFmtId="0" fontId="18" fillId="2" borderId="13" xfId="0" applyFont="1" applyBorder="1" applyAlignment="1">
      <alignment horizontal="center" vertical="center"/>
    </xf>
    <xf numFmtId="0" fontId="10" fillId="2" borderId="14" xfId="0" applyFont="1" applyBorder="1" applyAlignment="1">
      <alignment vertical="center" wrapText="1"/>
    </xf>
    <xf numFmtId="0" fontId="18" fillId="2" borderId="13" xfId="0" applyFont="1" applyBorder="1">
      <alignment vertical="center"/>
    </xf>
    <xf numFmtId="0" fontId="19" fillId="7" borderId="15" xfId="0" applyFont="1" applyFill="1" applyBorder="1" applyAlignment="1">
      <alignment vertical="center" wrapText="1"/>
    </xf>
    <xf numFmtId="0" fontId="19" fillId="2" borderId="15" xfId="0" applyFont="1" applyBorder="1" applyAlignment="1">
      <alignment vertical="center" wrapText="1"/>
    </xf>
    <xf numFmtId="0" fontId="20" fillId="2" borderId="15" xfId="0" applyFont="1" applyBorder="1" applyAlignment="1">
      <alignment vertical="center" wrapText="1"/>
    </xf>
    <xf numFmtId="0" fontId="21" fillId="2" borderId="16" xfId="0" applyFont="1" applyBorder="1" applyAlignment="1">
      <alignment vertical="center" wrapText="1"/>
    </xf>
    <xf numFmtId="0" fontId="0" fillId="6" borderId="7" xfId="0" applyFill="1" applyBorder="1" applyAlignment="1">
      <alignment horizontal="left" vertical="center" wrapText="1"/>
    </xf>
    <xf numFmtId="0" fontId="24" fillId="2" borderId="6" xfId="0" applyFont="1" applyBorder="1" applyAlignment="1">
      <alignment horizontal="left" vertical="center"/>
    </xf>
    <xf numFmtId="0" fontId="17" fillId="2" borderId="7" xfId="0" applyFont="1" applyBorder="1" applyAlignment="1">
      <alignment horizontal="left" vertical="center" wrapText="1"/>
    </xf>
    <xf numFmtId="0" fontId="20" fillId="8" borderId="7" xfId="0" applyFont="1" applyFill="1" applyBorder="1" applyAlignment="1">
      <alignment vertical="center" wrapText="1"/>
    </xf>
    <xf numFmtId="0" fontId="22" fillId="2" borderId="6" xfId="0" applyFont="1" applyBorder="1">
      <alignment vertical="center"/>
    </xf>
    <xf numFmtId="0" fontId="22" fillId="2" borderId="17" xfId="0" applyFont="1" applyBorder="1">
      <alignment vertical="center"/>
    </xf>
    <xf numFmtId="0" fontId="0" fillId="6" borderId="15" xfId="0" applyFill="1" applyBorder="1" applyAlignment="1">
      <alignment vertical="center" wrapText="1"/>
    </xf>
    <xf numFmtId="0" fontId="0" fillId="6" borderId="15" xfId="0" applyFill="1" applyBorder="1">
      <alignment vertical="center"/>
    </xf>
    <xf numFmtId="0" fontId="23" fillId="6" borderId="15" xfId="0" applyFont="1" applyFill="1" applyBorder="1" applyAlignment="1">
      <alignment vertical="center" wrapText="1"/>
    </xf>
    <xf numFmtId="0" fontId="0" fillId="6" borderId="18" xfId="0" applyFill="1" applyBorder="1" applyAlignment="1">
      <alignment vertical="center" wrapText="1"/>
    </xf>
    <xf numFmtId="0" fontId="0" fillId="6" borderId="19" xfId="0" applyFill="1" applyBorder="1" applyAlignment="1">
      <alignment vertical="center" wrapText="1"/>
    </xf>
    <xf numFmtId="0" fontId="23" fillId="6" borderId="7" xfId="0" applyFont="1" applyFill="1" applyBorder="1" applyAlignment="1">
      <alignment vertical="center" wrapText="1"/>
    </xf>
    <xf numFmtId="0" fontId="19" fillId="2" borderId="7" xfId="0" applyFont="1" applyBorder="1" applyAlignment="1">
      <alignment horizontal="center" vertical="center"/>
    </xf>
    <xf numFmtId="0" fontId="10" fillId="2" borderId="20" xfId="0" applyFont="1" applyBorder="1" applyAlignment="1">
      <alignment vertical="center" wrapText="1"/>
    </xf>
    <xf numFmtId="0" fontId="17" fillId="9" borderId="21" xfId="0" applyFont="1" applyFill="1" applyBorder="1">
      <alignment vertical="center"/>
    </xf>
    <xf numFmtId="0" fontId="17" fillId="9" borderId="22" xfId="0" applyFont="1" applyFill="1" applyBorder="1" applyAlignment="1">
      <alignment vertical="center" wrapText="1"/>
    </xf>
    <xf numFmtId="0" fontId="17" fillId="9" borderId="21" xfId="0" applyFont="1" applyFill="1" applyBorder="1" applyAlignment="1">
      <alignment vertical="center" wrapText="1"/>
    </xf>
    <xf numFmtId="0" fontId="13" fillId="2" borderId="23" xfId="0" applyFont="1" applyBorder="1" applyAlignment="1">
      <alignment vertical="center" wrapText="1"/>
    </xf>
    <xf numFmtId="0" fontId="14" fillId="2" borderId="7" xfId="0" applyFont="1" applyBorder="1">
      <alignment vertical="center"/>
    </xf>
    <xf numFmtId="0" fontId="14" fillId="2" borderId="24" xfId="0" applyFont="1" applyBorder="1">
      <alignment vertical="center"/>
    </xf>
    <xf numFmtId="0" fontId="0" fillId="2" borderId="15" xfId="0" applyBorder="1" applyAlignment="1">
      <alignment vertical="center" wrapText="1"/>
    </xf>
    <xf numFmtId="0" fontId="0" fillId="2" borderId="25" xfId="0" applyBorder="1" applyAlignment="1">
      <alignment vertical="center" wrapText="1"/>
    </xf>
    <xf numFmtId="0" fontId="0" fillId="2" borderId="7" xfId="0" applyBorder="1" applyAlignment="1">
      <alignment vertical="center" wrapText="1"/>
    </xf>
    <xf numFmtId="0" fontId="23" fillId="2" borderId="7" xfId="0" applyFont="1" applyBorder="1" applyAlignment="1">
      <alignment vertical="center" wrapText="1"/>
    </xf>
    <xf numFmtId="0" fontId="19" fillId="2" borderId="25" xfId="0" applyFont="1" applyBorder="1" applyAlignment="1">
      <alignment horizontal="center" vertical="center"/>
    </xf>
    <xf numFmtId="0" fontId="14" fillId="2" borderId="7" xfId="0" applyFont="1" applyBorder="1" applyAlignment="1">
      <alignment vertical="center" wrapText="1"/>
    </xf>
    <xf numFmtId="0" fontId="12" fillId="2" borderId="7" xfId="0" applyFont="1" applyBorder="1" applyAlignment="1">
      <alignment horizontal="center" vertical="center"/>
    </xf>
    <xf numFmtId="0" fontId="13" fillId="2" borderId="26" xfId="0" applyFont="1" applyBorder="1" applyAlignment="1">
      <alignment vertical="center" wrapText="1"/>
    </xf>
    <xf numFmtId="0" fontId="25" fillId="2" borderId="6" xfId="0" applyFont="1" applyBorder="1" applyAlignment="1">
      <alignment horizontal="left" vertical="center" wrapText="1"/>
    </xf>
    <xf numFmtId="0" fontId="22" fillId="2" borderId="27" xfId="0" applyFont="1" applyBorder="1">
      <alignment vertical="center"/>
    </xf>
    <xf numFmtId="0" fontId="22" fillId="2" borderId="28" xfId="0" applyFont="1" applyBorder="1">
      <alignment vertical="center"/>
    </xf>
    <xf numFmtId="0" fontId="0" fillId="2" borderId="5" xfId="0" applyBorder="1" applyAlignment="1">
      <alignment vertical="center" wrapText="1"/>
    </xf>
    <xf numFmtId="0" fontId="0" fillId="8" borderId="7" xfId="0" applyFill="1" applyBorder="1" applyAlignment="1">
      <alignment vertical="center" wrapText="1"/>
    </xf>
    <xf numFmtId="0" fontId="0" fillId="2" borderId="0" xfId="0" applyBorder="1" applyAlignment="1">
      <alignment vertical="center" wrapText="1"/>
    </xf>
    <xf numFmtId="0" fontId="0" fillId="2" borderId="10" xfId="0" applyBorder="1" applyAlignment="1">
      <alignment vertical="center" wrapText="1"/>
    </xf>
    <xf numFmtId="0" fontId="26" fillId="2" borderId="6" xfId="0" applyFont="1" applyBorder="1" applyAlignment="1">
      <alignment horizontal="left" vertical="center" wrapText="1"/>
    </xf>
    <xf numFmtId="0" fontId="17" fillId="2" borderId="7" xfId="0" applyFont="1" applyBorder="1" applyAlignment="1">
      <alignment vertical="center" wrapText="1"/>
    </xf>
    <xf numFmtId="0" fontId="27" fillId="2" borderId="7" xfId="0" applyFont="1" applyBorder="1">
      <alignment vertical="center"/>
    </xf>
    <xf numFmtId="0" fontId="28" fillId="6" borderId="7" xfId="0" applyFont="1" applyFill="1" applyBorder="1" applyAlignment="1">
      <alignment vertical="center" wrapText="1"/>
    </xf>
    <xf numFmtId="0" fontId="18" fillId="2" borderId="29" xfId="0" applyFont="1" applyBorder="1" applyAlignment="1">
      <alignment horizontal="center" vertical="center"/>
    </xf>
    <xf numFmtId="0" fontId="16" fillId="2" borderId="7" xfId="0" applyFont="1" applyBorder="1" applyAlignment="1">
      <alignment vertical="center" wrapText="1"/>
    </xf>
    <xf numFmtId="0" fontId="15" fillId="2" borderId="7" xfId="0" applyFont="1" applyBorder="1" applyAlignment="1">
      <alignment vertical="center" wrapText="1"/>
    </xf>
    <xf numFmtId="0" fontId="16" fillId="2" borderId="10" xfId="0" applyFont="1" applyBorder="1" applyAlignment="1">
      <alignment vertical="center" wrapText="1"/>
    </xf>
    <xf numFmtId="0" fontId="28" fillId="2" borderId="7" xfId="0" applyFont="1" applyBorder="1" applyAlignment="1">
      <alignment vertical="center" wrapText="1"/>
    </xf>
    <xf numFmtId="0" fontId="16" fillId="2" borderId="0" xfId="0" applyFont="1" applyBorder="1" applyAlignment="1">
      <alignment vertical="center" wrapText="1"/>
    </xf>
    <xf numFmtId="0" fontId="16" fillId="2" borderId="10" xfId="0" applyFont="1" applyBorder="1">
      <alignment vertical="center"/>
    </xf>
    <xf numFmtId="0" fontId="13" fillId="2" borderId="8" xfId="0" applyFont="1" applyBorder="1" applyAlignment="1">
      <alignment vertical="center" wrapText="1"/>
    </xf>
    <xf numFmtId="0" fontId="10" fillId="2" borderId="30" xfId="0" applyFont="1" applyBorder="1" applyAlignment="1">
      <alignment vertical="center" wrapText="1"/>
    </xf>
    <xf numFmtId="0" fontId="29" fillId="2" borderId="7" xfId="0" applyFont="1" applyBorder="1" applyAlignment="1">
      <alignment horizontal="left" vertical="center" wrapText="1"/>
    </xf>
    <xf numFmtId="0" fontId="19" fillId="2" borderId="5" xfId="0" applyFont="1" applyBorder="1" applyAlignment="1">
      <alignment vertical="center" wrapText="1"/>
    </xf>
    <xf numFmtId="0" fontId="20" fillId="2" borderId="5" xfId="0" applyFont="1" applyBorder="1" applyAlignment="1">
      <alignment vertical="center" wrapText="1"/>
    </xf>
    <xf numFmtId="0" fontId="13" fillId="2" borderId="31" xfId="0" applyFont="1" applyBorder="1" applyAlignment="1">
      <alignment vertical="center" wrapText="1"/>
    </xf>
    <xf numFmtId="0" fontId="0" fillId="2" borderId="21" xfId="0" applyBorder="1">
      <alignment vertical="center"/>
    </xf>
    <xf numFmtId="0" fontId="0" fillId="2" borderId="5" xfId="0" applyBorder="1">
      <alignment vertical="center"/>
    </xf>
    <xf numFmtId="0" fontId="0" fillId="6" borderId="0" xfId="0" applyFill="1" applyBorder="1" applyAlignment="1">
      <alignment vertical="center" wrapText="1"/>
    </xf>
    <xf numFmtId="0" fontId="0" fillId="6" borderId="12" xfId="0" applyFill="1" applyBorder="1" applyAlignment="1">
      <alignment vertical="center" wrapText="1"/>
    </xf>
    <xf numFmtId="0" fontId="10" fillId="2" borderId="32" xfId="0" applyFont="1" applyBorder="1" applyAlignment="1">
      <alignment vertical="center" wrapText="1"/>
    </xf>
    <xf numFmtId="0" fontId="21" fillId="2" borderId="5" xfId="0" applyFont="1" applyBorder="1">
      <alignment vertical="center"/>
    </xf>
    <xf numFmtId="0" fontId="19" fillId="2" borderId="12" xfId="0" applyFont="1" applyBorder="1" applyAlignment="1">
      <alignment vertical="center" wrapText="1"/>
    </xf>
    <xf numFmtId="0" fontId="0" fillId="2" borderId="12" xfId="0" applyBorder="1">
      <alignment vertical="center"/>
    </xf>
    <xf numFmtId="0" fontId="0" fillId="2" borderId="12" xfId="0" applyBorder="1" applyAlignment="1">
      <alignment vertical="center" wrapText="1"/>
    </xf>
    <xf numFmtId="0" fontId="0" fillId="6" borderId="33" xfId="0" applyFill="1" applyBorder="1" applyAlignment="1">
      <alignment vertical="center" wrapText="1"/>
    </xf>
    <xf numFmtId="0" fontId="30" fillId="6" borderId="7" xfId="0" applyFont="1" applyFill="1" applyBorder="1" applyAlignment="1">
      <alignment horizontal="center" vertical="center"/>
    </xf>
    <xf numFmtId="0" fontId="10" fillId="6" borderId="30" xfId="0" applyFont="1" applyFill="1" applyBorder="1" applyAlignment="1">
      <alignment vertical="center" wrapText="1"/>
    </xf>
    <xf numFmtId="0" fontId="29" fillId="6" borderId="7" xfId="0" applyFont="1" applyFill="1" applyBorder="1" applyAlignment="1">
      <alignment horizontal="left" vertical="center" wrapText="1"/>
    </xf>
    <xf numFmtId="0" fontId="31" fillId="0" borderId="5" xfId="0" applyFont="1" applyFill="1" applyBorder="1">
      <alignment vertical="center"/>
    </xf>
    <xf numFmtId="0" fontId="17" fillId="0" borderId="5" xfId="0" applyFont="1" applyFill="1" applyBorder="1">
      <alignment vertical="center"/>
    </xf>
    <xf numFmtId="0" fontId="32" fillId="0" borderId="5" xfId="0" applyFont="1" applyFill="1" applyBorder="1" applyAlignment="1">
      <alignment vertical="center" wrapText="1"/>
    </xf>
    <xf numFmtId="0" fontId="13" fillId="6" borderId="34" xfId="0" applyFont="1" applyFill="1" applyBorder="1" applyAlignment="1">
      <alignment vertical="center" wrapText="1"/>
    </xf>
    <xf numFmtId="0" fontId="15" fillId="2" borderId="7" xfId="0" applyFont="1" applyBorder="1">
      <alignment vertical="center"/>
    </xf>
    <xf numFmtId="0" fontId="15" fillId="2" borderId="8" xfId="0" applyFont="1" applyBorder="1">
      <alignment vertical="center"/>
    </xf>
    <xf numFmtId="0" fontId="0" fillId="6" borderId="21" xfId="0" applyFill="1" applyBorder="1" applyAlignment="1">
      <alignment vertical="center" wrapText="1"/>
    </xf>
    <xf numFmtId="0" fontId="30" fillId="6" borderId="25" xfId="0" applyFont="1" applyFill="1" applyBorder="1" applyAlignment="1">
      <alignment horizontal="center" vertical="center"/>
    </xf>
    <xf numFmtId="0" fontId="10" fillId="6" borderId="32" xfId="0" applyFont="1" applyFill="1" applyBorder="1" applyAlignment="1">
      <alignment vertical="center" wrapText="1"/>
    </xf>
    <xf numFmtId="0" fontId="19" fillId="6" borderId="12" xfId="0" applyFont="1" applyFill="1" applyBorder="1" applyAlignment="1">
      <alignment vertical="center" wrapText="1"/>
    </xf>
    <xf numFmtId="0" fontId="19" fillId="6" borderId="5" xfId="0" applyFont="1" applyFill="1" applyBorder="1" applyAlignment="1">
      <alignment vertical="center" wrapText="1"/>
    </xf>
    <xf numFmtId="0" fontId="33" fillId="6" borderId="5" xfId="0" applyFont="1" applyFill="1" applyBorder="1" applyAlignment="1">
      <alignment vertical="center" wrapText="1"/>
    </xf>
    <xf numFmtId="0" fontId="21" fillId="2" borderId="31" xfId="0" applyFont="1" applyBorder="1">
      <alignment vertical="center"/>
    </xf>
    <xf numFmtId="0" fontId="34" fillId="2" borderId="7" xfId="0" applyFont="1" applyBorder="1">
      <alignment vertical="center"/>
    </xf>
    <xf numFmtId="0" fontId="17" fillId="2" borderId="8" xfId="0" applyFont="1" applyBorder="1">
      <alignment vertical="center"/>
    </xf>
    <xf numFmtId="0" fontId="0" fillId="2" borderId="21" xfId="0" applyBorder="1" applyAlignment="1">
      <alignment vertical="center" wrapText="1"/>
    </xf>
    <xf numFmtId="0" fontId="35" fillId="6" borderId="7" xfId="0" applyFont="1" applyFill="1" applyBorder="1" applyAlignment="1">
      <alignment horizontal="center" vertical="center"/>
    </xf>
    <xf numFmtId="0" fontId="19" fillId="6" borderId="7" xfId="0" applyFont="1" applyFill="1" applyBorder="1" applyAlignment="1">
      <alignment vertical="center" wrapText="1"/>
    </xf>
    <xf numFmtId="0" fontId="36" fillId="6" borderId="7" xfId="0" applyFont="1" applyFill="1" applyBorder="1" applyAlignment="1">
      <alignment vertical="center" wrapText="1"/>
    </xf>
    <xf numFmtId="0" fontId="23" fillId="0" borderId="5" xfId="0" applyFont="1" applyFill="1" applyBorder="1" applyAlignment="1">
      <alignment vertical="center" wrapText="1"/>
    </xf>
    <xf numFmtId="0" fontId="0" fillId="0" borderId="7" xfId="0" applyFill="1" applyBorder="1">
      <alignment vertical="center"/>
    </xf>
    <xf numFmtId="0" fontId="0" fillId="0" borderId="12" xfId="0" applyFill="1" applyBorder="1" applyAlignment="1">
      <alignment vertical="center" wrapText="1"/>
    </xf>
    <xf numFmtId="0" fontId="37" fillId="6" borderId="7" xfId="0" applyFont="1" applyFill="1" applyBorder="1" applyAlignment="1">
      <alignment vertical="center" wrapText="1"/>
    </xf>
    <xf numFmtId="0" fontId="23" fillId="2" borderId="5" xfId="0" applyFont="1" applyBorder="1" applyAlignment="1">
      <alignment vertical="center" wrapText="1"/>
    </xf>
    <xf numFmtId="0" fontId="0" fillId="2" borderId="0" xfId="0" applyBorder="1">
      <alignment vertical="center"/>
    </xf>
    <xf numFmtId="0" fontId="17" fillId="2" borderId="7" xfId="0" applyFont="1" applyBorder="1">
      <alignment vertical="center"/>
    </xf>
    <xf numFmtId="0" fontId="17" fillId="10" borderId="7" xfId="0" applyFont="1" applyFill="1" applyBorder="1" applyAlignment="1">
      <alignment vertical="center" wrapText="1"/>
    </xf>
    <xf numFmtId="0" fontId="38" fillId="10" borderId="7" xfId="0" applyFont="1" applyFill="1" applyBorder="1" applyAlignment="1">
      <alignment vertical="center" wrapText="1"/>
    </xf>
    <xf numFmtId="0" fontId="0" fillId="2" borderId="7" xfId="0" applyBorder="1" applyAlignment="1">
      <alignment horizontal="left" vertical="center" wrapText="1"/>
    </xf>
    <xf numFmtId="0" fontId="19" fillId="6" borderId="35" xfId="0" applyFont="1" applyFill="1" applyBorder="1" applyAlignment="1">
      <alignment vertical="center" wrapText="1"/>
    </xf>
    <xf numFmtId="0" fontId="19" fillId="6" borderId="36" xfId="0" applyFont="1" applyFill="1" applyBorder="1" applyAlignment="1">
      <alignment vertical="center" wrapText="1"/>
    </xf>
    <xf numFmtId="0" fontId="39" fillId="6" borderId="15" xfId="0" applyFont="1" applyFill="1" applyBorder="1" applyAlignment="1">
      <alignment vertical="center" wrapText="1"/>
    </xf>
    <xf numFmtId="0" fontId="23" fillId="8" borderId="7" xfId="0" applyFont="1" applyFill="1" applyBorder="1" applyAlignment="1">
      <alignment vertical="center" wrapText="1"/>
    </xf>
    <xf numFmtId="0" fontId="29" fillId="2" borderId="21" xfId="0" applyFont="1" applyBorder="1" applyAlignment="1">
      <alignment horizontal="left" vertical="center" wrapText="1"/>
    </xf>
    <xf numFmtId="0" fontId="40" fillId="2" borderId="7" xfId="0" applyFont="1" applyBorder="1" applyAlignment="1">
      <alignment horizontal="left" vertical="center"/>
    </xf>
    <xf numFmtId="0" fontId="40" fillId="2" borderId="7" xfId="0" applyFont="1" applyBorder="1" applyAlignment="1">
      <alignment horizontal="left" vertical="center" wrapText="1"/>
    </xf>
    <xf numFmtId="0" fontId="41" fillId="2" borderId="19" xfId="0" applyFont="1" applyBorder="1" applyAlignment="1">
      <alignment horizontal="left" vertical="center" wrapText="1"/>
    </xf>
    <xf numFmtId="0" fontId="42" fillId="2" borderId="8" xfId="0" applyFont="1" applyBorder="1">
      <alignment vertical="center"/>
    </xf>
    <xf numFmtId="0" fontId="34" fillId="2" borderId="8" xfId="0" applyFont="1" applyBorder="1">
      <alignment vertical="center"/>
    </xf>
    <xf numFmtId="0" fontId="0" fillId="0" borderId="7" xfId="0" applyFill="1" applyBorder="1" applyAlignment="1">
      <alignment vertical="center" wrapText="1"/>
    </xf>
    <xf numFmtId="0" fontId="25" fillId="2" borderId="27" xfId="0" applyFont="1" applyBorder="1" applyAlignment="1">
      <alignment horizontal="left" vertical="center" wrapText="1"/>
    </xf>
    <xf numFmtId="0" fontId="16" fillId="2" borderId="5" xfId="0" applyFont="1" applyBorder="1" applyAlignment="1">
      <alignment vertical="center" wrapText="1"/>
    </xf>
    <xf numFmtId="0" fontId="16" fillId="6" borderId="19" xfId="0" applyFont="1" applyFill="1" applyBorder="1" applyAlignment="1">
      <alignment vertical="center" wrapText="1"/>
    </xf>
    <xf numFmtId="0" fontId="16" fillId="8" borderId="15" xfId="0" applyFont="1" applyFill="1" applyBorder="1" applyAlignment="1">
      <alignment vertical="center" wrapText="1"/>
    </xf>
    <xf numFmtId="0" fontId="43" fillId="2" borderId="37" xfId="0" applyFont="1" applyBorder="1">
      <alignment vertical="center"/>
    </xf>
    <xf numFmtId="0" fontId="44" fillId="2" borderId="8" xfId="0" applyFont="1" applyBorder="1">
      <alignment vertical="center"/>
    </xf>
    <xf numFmtId="0" fontId="45" fillId="6" borderId="7" xfId="0" applyFont="1" applyFill="1" applyBorder="1" applyAlignment="1">
      <alignment vertical="center" wrapText="1"/>
    </xf>
    <xf numFmtId="0" fontId="10" fillId="2" borderId="38" xfId="0" applyFont="1" applyBorder="1" applyAlignment="1">
      <alignment vertical="center" wrapText="1"/>
    </xf>
    <xf numFmtId="0" fontId="29" fillId="2" borderId="39" xfId="0" applyFont="1" applyBorder="1" applyAlignment="1">
      <alignment horizontal="left" vertical="center" wrapText="1"/>
    </xf>
    <xf numFmtId="0" fontId="16" fillId="2" borderId="39" xfId="0" applyFont="1" applyBorder="1" applyAlignment="1">
      <alignment vertical="center" wrapText="1"/>
    </xf>
    <xf numFmtId="0" fontId="16" fillId="2" borderId="19" xfId="0" applyFont="1" applyBorder="1" applyAlignment="1">
      <alignment vertical="center" wrapText="1"/>
    </xf>
    <xf numFmtId="0" fontId="16" fillId="0" borderId="15" xfId="0" applyFont="1" applyFill="1" applyBorder="1" applyAlignment="1">
      <alignment vertical="center" wrapText="1"/>
    </xf>
    <xf numFmtId="0" fontId="46" fillId="2" borderId="8" xfId="0" applyFont="1" applyBorder="1">
      <alignment vertical="center"/>
    </xf>
    <xf numFmtId="0" fontId="19" fillId="2" borderId="41" xfId="0" applyFont="1" applyBorder="1" applyAlignment="1">
      <alignment horizontal="center" vertical="center"/>
    </xf>
    <xf numFmtId="0" fontId="16" fillId="2" borderId="21" xfId="0" applyFont="1" applyBorder="1" applyAlignment="1">
      <alignment vertical="center" wrapText="1"/>
    </xf>
    <xf numFmtId="0" fontId="25" fillId="2" borderId="43" xfId="0" applyFont="1" applyBorder="1" applyAlignment="1">
      <alignment horizontal="left" vertical="center" wrapText="1"/>
    </xf>
    <xf numFmtId="0" fontId="16" fillId="2" borderId="36" xfId="0" applyFont="1" applyBorder="1" applyAlignment="1">
      <alignment vertical="center" wrapText="1"/>
    </xf>
    <xf numFmtId="0" fontId="16" fillId="2" borderId="15" xfId="0" applyFont="1" applyBorder="1" applyAlignment="1">
      <alignment vertical="center" wrapText="1"/>
    </xf>
    <xf numFmtId="0" fontId="16" fillId="0" borderId="7" xfId="0" applyFont="1" applyFill="1" applyBorder="1" applyAlignment="1">
      <alignment vertical="center" wrapText="1"/>
    </xf>
    <xf numFmtId="0" fontId="44" fillId="2" borderId="45" xfId="0" applyFont="1" applyBorder="1">
      <alignment vertical="center"/>
    </xf>
    <xf numFmtId="0" fontId="29" fillId="2" borderId="46" xfId="0" applyFont="1" applyBorder="1" applyAlignment="1">
      <alignment horizontal="left" vertical="center" wrapText="1"/>
    </xf>
    <xf numFmtId="0" fontId="12" fillId="2" borderId="15" xfId="0" applyFont="1" applyBorder="1" applyAlignment="1">
      <alignment vertical="center" wrapText="1"/>
    </xf>
    <xf numFmtId="0" fontId="29" fillId="2" borderId="46" xfId="0" applyFont="1" applyBorder="1">
      <alignment vertical="center"/>
    </xf>
    <xf numFmtId="0" fontId="16" fillId="2" borderId="47" xfId="0" applyFont="1" applyBorder="1" applyAlignment="1">
      <alignment vertical="center" wrapText="1"/>
    </xf>
    <xf numFmtId="0" fontId="12" fillId="11" borderId="15" xfId="0" applyFont="1" applyFill="1" applyBorder="1" applyAlignment="1">
      <alignment vertical="center" wrapText="1"/>
    </xf>
    <xf numFmtId="0" fontId="29" fillId="2" borderId="41" xfId="0" applyFont="1" applyBorder="1">
      <alignment vertical="center"/>
    </xf>
    <xf numFmtId="0" fontId="29" fillId="2" borderId="47" xfId="0" applyFont="1" applyBorder="1" applyAlignment="1">
      <alignment horizontal="left" vertical="center" wrapText="1"/>
    </xf>
    <xf numFmtId="0" fontId="47" fillId="2" borderId="16" xfId="0" applyFont="1" applyBorder="1" applyAlignment="1">
      <alignment vertical="center" wrapText="1"/>
    </xf>
    <xf numFmtId="0" fontId="29" fillId="2" borderId="15" xfId="0" applyFont="1" applyBorder="1" applyAlignment="1">
      <alignment horizontal="left" vertical="center" wrapText="1"/>
    </xf>
    <xf numFmtId="0" fontId="44" fillId="2" borderId="6" xfId="0" applyFont="1" applyBorder="1">
      <alignment vertical="center"/>
    </xf>
    <xf numFmtId="0" fontId="17" fillId="2" borderId="21" xfId="0" applyFont="1" applyBorder="1" applyAlignment="1">
      <alignment vertical="center" wrapText="1"/>
    </xf>
    <xf numFmtId="0" fontId="43" fillId="2" borderId="8" xfId="0" applyFont="1" applyBorder="1">
      <alignment vertical="center"/>
    </xf>
    <xf numFmtId="0" fontId="44" fillId="2" borderId="48" xfId="0" applyFont="1" applyBorder="1">
      <alignment vertical="center"/>
    </xf>
    <xf numFmtId="0" fontId="10" fillId="2" borderId="49" xfId="0" applyFont="1" applyBorder="1" applyAlignment="1">
      <alignment vertical="center" wrapText="1"/>
    </xf>
    <xf numFmtId="0" fontId="17" fillId="5" borderId="5" xfId="0" applyFont="1" applyFill="1" applyBorder="1" applyAlignment="1">
      <alignment vertical="center" wrapText="1"/>
    </xf>
    <xf numFmtId="0" fontId="17" fillId="2" borderId="5" xfId="0" applyFont="1" applyBorder="1" applyAlignment="1">
      <alignment vertical="center" wrapText="1"/>
    </xf>
    <xf numFmtId="0" fontId="43" fillId="2" borderId="31" xfId="0" applyFont="1" applyBorder="1">
      <alignment vertical="center"/>
    </xf>
    <xf numFmtId="0" fontId="48" fillId="2" borderId="5" xfId="0" applyFont="1" applyBorder="1">
      <alignment vertical="center"/>
    </xf>
    <xf numFmtId="0" fontId="48" fillId="2" borderId="50" xfId="0" applyFont="1" applyBorder="1">
      <alignment vertical="center"/>
    </xf>
    <xf numFmtId="0" fontId="0" fillId="12" borderId="7" xfId="0" applyFill="1" applyBorder="1" applyAlignment="1">
      <alignment vertical="center" wrapText="1"/>
    </xf>
    <xf numFmtId="0" fontId="21" fillId="2" borderId="7" xfId="0" applyFont="1" applyBorder="1">
      <alignment vertical="center"/>
    </xf>
    <xf numFmtId="0" fontId="48" fillId="2" borderId="7" xfId="0" applyFont="1" applyBorder="1">
      <alignment vertical="center"/>
    </xf>
    <xf numFmtId="0" fontId="49" fillId="10" borderId="7" xfId="0" applyFont="1" applyFill="1" applyBorder="1" applyAlignment="1">
      <alignment vertical="center" wrapText="1"/>
    </xf>
    <xf numFmtId="0" fontId="17" fillId="2" borderId="15" xfId="0" applyFont="1" applyBorder="1" applyAlignment="1">
      <alignment vertical="center" wrapText="1"/>
    </xf>
    <xf numFmtId="0" fontId="17" fillId="9" borderId="14" xfId="0" applyFont="1" applyFill="1" applyBorder="1" applyAlignment="1">
      <alignment vertical="center" wrapText="1"/>
    </xf>
    <xf numFmtId="0" fontId="48" fillId="2" borderId="15" xfId="0" applyFont="1" applyBorder="1">
      <alignment vertical="center"/>
    </xf>
    <xf numFmtId="0" fontId="17" fillId="9" borderId="51" xfId="0" applyFont="1" applyFill="1" applyBorder="1" applyAlignment="1">
      <alignment vertical="center" wrapText="1"/>
    </xf>
    <xf numFmtId="0" fontId="13" fillId="2" borderId="7" xfId="0" applyFont="1" applyBorder="1" applyAlignment="1">
      <alignment vertical="center" wrapText="1"/>
    </xf>
    <xf numFmtId="0" fontId="48" fillId="2" borderId="25" xfId="0" applyFont="1" applyBorder="1">
      <alignment vertical="center"/>
    </xf>
    <xf numFmtId="0" fontId="34" fillId="2" borderId="52" xfId="0" applyFont="1" applyBorder="1">
      <alignment vertical="center"/>
    </xf>
    <xf numFmtId="0" fontId="0" fillId="6" borderId="8" xfId="0" applyFill="1" applyBorder="1" applyAlignment="1">
      <alignment vertical="center" wrapText="1"/>
    </xf>
    <xf numFmtId="0" fontId="0" fillId="6" borderId="10" xfId="0" applyFill="1" applyBorder="1">
      <alignment vertical="center"/>
    </xf>
    <xf numFmtId="0" fontId="12" fillId="6" borderId="7" xfId="0" applyFont="1" applyFill="1" applyBorder="1" applyAlignment="1">
      <alignment horizontal="center" vertical="center"/>
    </xf>
    <xf numFmtId="0" fontId="12" fillId="2" borderId="5" xfId="0" applyFont="1" applyBorder="1" applyAlignment="1">
      <alignment vertical="center" wrapText="1"/>
    </xf>
    <xf numFmtId="0" fontId="14" fillId="2" borderId="5" xfId="0" applyFont="1" applyBorder="1">
      <alignment vertical="center"/>
    </xf>
    <xf numFmtId="0" fontId="16" fillId="6" borderId="36" xfId="0" applyFont="1" applyFill="1" applyBorder="1">
      <alignment vertical="center"/>
    </xf>
    <xf numFmtId="0" fontId="16" fillId="6" borderId="37" xfId="0" applyFont="1" applyFill="1" applyBorder="1">
      <alignment vertical="center"/>
    </xf>
    <xf numFmtId="0" fontId="16" fillId="6" borderId="35" xfId="0" applyFont="1" applyFill="1" applyBorder="1">
      <alignment vertical="center"/>
    </xf>
    <xf numFmtId="0" fontId="16" fillId="6" borderId="35" xfId="0" applyFont="1" applyFill="1" applyBorder="1" applyAlignment="1">
      <alignment vertical="center" wrapText="1"/>
    </xf>
    <xf numFmtId="0" fontId="28" fillId="6" borderId="36" xfId="0" applyFont="1" applyFill="1" applyBorder="1" applyAlignment="1">
      <alignment vertical="center" wrapText="1"/>
    </xf>
    <xf numFmtId="0" fontId="16" fillId="6" borderId="36" xfId="0" applyFont="1" applyFill="1" applyBorder="1" applyAlignment="1">
      <alignment vertical="center" wrapText="1"/>
    </xf>
    <xf numFmtId="0" fontId="23" fillId="6" borderId="36" xfId="0" applyFont="1" applyFill="1" applyBorder="1" applyAlignment="1">
      <alignment vertical="center" wrapText="1"/>
    </xf>
    <xf numFmtId="0" fontId="16" fillId="2" borderId="36" xfId="0" applyFont="1" applyBorder="1">
      <alignment vertical="center"/>
    </xf>
    <xf numFmtId="0" fontId="17" fillId="6" borderId="36" xfId="0" applyFont="1" applyFill="1" applyBorder="1" applyAlignment="1">
      <alignment vertical="center" wrapText="1"/>
    </xf>
    <xf numFmtId="0" fontId="19" fillId="6" borderId="7" xfId="0" applyFont="1" applyFill="1" applyBorder="1" applyAlignment="1">
      <alignment horizontal="center" vertical="center"/>
    </xf>
    <xf numFmtId="0" fontId="11" fillId="2" borderId="6" xfId="0" applyFont="1" applyBorder="1" applyAlignment="1">
      <alignment vertical="center" wrapText="1"/>
    </xf>
    <xf numFmtId="0" fontId="50" fillId="2" borderId="25" xfId="0" applyFont="1" applyBorder="1">
      <alignment vertical="center"/>
    </xf>
    <xf numFmtId="0" fontId="16" fillId="6" borderId="53" xfId="0" applyFont="1" applyFill="1" applyBorder="1">
      <alignment vertical="center"/>
    </xf>
    <xf numFmtId="0" fontId="10" fillId="2" borderId="7" xfId="0" applyFont="1" applyBorder="1" applyAlignment="1">
      <alignment vertical="center" wrapText="1"/>
    </xf>
    <xf numFmtId="0" fontId="43" fillId="2" borderId="7" xfId="0" applyFont="1" applyBorder="1">
      <alignment vertical="center"/>
    </xf>
    <xf numFmtId="0" fontId="48" fillId="2" borderId="54" xfId="0" applyFont="1" applyBorder="1">
      <alignment vertical="center"/>
    </xf>
    <xf numFmtId="0" fontId="17" fillId="8" borderId="7" xfId="0" applyFont="1" applyFill="1" applyBorder="1" applyAlignment="1">
      <alignment vertical="center" wrapText="1"/>
    </xf>
    <xf numFmtId="0" fontId="51" fillId="2" borderId="7" xfId="0" applyFont="1" applyBorder="1" applyAlignment="1">
      <alignment horizontal="left" vertical="center"/>
    </xf>
    <xf numFmtId="0" fontId="17" fillId="9" borderId="52" xfId="0" applyFont="1" applyFill="1" applyBorder="1" applyAlignment="1">
      <alignment vertical="center" wrapText="1"/>
    </xf>
    <xf numFmtId="0" fontId="34" fillId="9" borderId="7" xfId="0" applyFont="1" applyFill="1" applyBorder="1">
      <alignment vertical="center"/>
    </xf>
    <xf numFmtId="0" fontId="40" fillId="2" borderId="52" xfId="0" applyFont="1" applyBorder="1" applyAlignment="1">
      <alignment horizontal="left" vertical="center" wrapText="1"/>
    </xf>
    <xf numFmtId="0" fontId="41" fillId="2" borderId="7" xfId="0" applyFont="1" applyBorder="1" applyAlignment="1">
      <alignment horizontal="left" vertical="center" wrapText="1"/>
    </xf>
    <xf numFmtId="0" fontId="42" fillId="9" borderId="7" xfId="0" applyFont="1" applyFill="1" applyBorder="1">
      <alignment vertical="center"/>
    </xf>
    <xf numFmtId="0" fontId="17" fillId="2" borderId="15" xfId="0" applyFont="1" applyBorder="1" applyAlignment="1">
      <alignment horizontal="left" vertical="center" wrapText="1"/>
    </xf>
    <xf numFmtId="0" fontId="32" fillId="6" borderId="15" xfId="0" applyFont="1" applyFill="1" applyBorder="1" applyAlignment="1">
      <alignment vertical="center" wrapText="1"/>
    </xf>
    <xf numFmtId="0" fontId="52" fillId="2" borderId="15" xfId="0" applyFont="1" applyBorder="1">
      <alignment vertical="center"/>
    </xf>
    <xf numFmtId="0" fontId="22" fillId="2" borderId="13" xfId="0" applyFont="1" applyBorder="1">
      <alignment vertical="center"/>
    </xf>
    <xf numFmtId="0" fontId="0" fillId="2" borderId="15" xfId="0" applyBorder="1">
      <alignment vertical="center"/>
    </xf>
    <xf numFmtId="0" fontId="16" fillId="6" borderId="15" xfId="0" applyFont="1" applyFill="1" applyBorder="1" applyAlignment="1">
      <alignment vertical="center" wrapText="1"/>
    </xf>
    <xf numFmtId="0" fontId="29" fillId="2" borderId="25" xfId="0" applyFont="1" applyBorder="1" applyAlignment="1">
      <alignment horizontal="left" vertical="center" wrapText="1"/>
    </xf>
    <xf numFmtId="0" fontId="26" fillId="2" borderId="7" xfId="0" applyFont="1" applyBorder="1" applyAlignment="1">
      <alignment horizontal="left" vertical="center" wrapText="1"/>
    </xf>
    <xf numFmtId="0" fontId="49" fillId="9" borderId="55" xfId="0" applyFont="1" applyFill="1" applyBorder="1" applyAlignment="1">
      <alignment vertical="center" wrapText="1"/>
    </xf>
    <xf numFmtId="0" fontId="49" fillId="7" borderId="25" xfId="0" applyFont="1" applyFill="1" applyBorder="1" applyAlignment="1">
      <alignment vertical="center" wrapText="1"/>
    </xf>
    <xf numFmtId="0" fontId="49" fillId="9" borderId="56" xfId="0" applyFont="1" applyFill="1" applyBorder="1" applyAlignment="1">
      <alignment vertical="center" wrapText="1"/>
    </xf>
    <xf numFmtId="0" fontId="13" fillId="2" borderId="7" xfId="0" applyFont="1" applyBorder="1">
      <alignment vertical="center"/>
    </xf>
    <xf numFmtId="0" fontId="49" fillId="9" borderId="25" xfId="0" applyFont="1" applyFill="1" applyBorder="1" applyAlignment="1">
      <alignment vertical="center" wrapText="1"/>
    </xf>
    <xf numFmtId="0" fontId="49" fillId="11" borderId="25" xfId="0" applyFont="1" applyFill="1" applyBorder="1" applyAlignment="1">
      <alignment vertical="center" wrapText="1"/>
    </xf>
    <xf numFmtId="0" fontId="49" fillId="9" borderId="36" xfId="0" applyFont="1" applyFill="1" applyBorder="1" applyAlignment="1">
      <alignment vertical="center" wrapText="1"/>
    </xf>
    <xf numFmtId="0" fontId="10" fillId="2" borderId="7" xfId="0" applyFont="1" applyBorder="1">
      <alignment vertical="center"/>
    </xf>
    <xf numFmtId="0" fontId="16" fillId="2" borderId="7" xfId="0" applyFont="1" applyBorder="1" applyAlignment="1">
      <alignment horizontal="left" vertical="center" wrapText="1"/>
    </xf>
    <xf numFmtId="0" fontId="49" fillId="2" borderId="15" xfId="0" applyFont="1" applyBorder="1" applyAlignment="1">
      <alignment vertical="center" wrapText="1"/>
    </xf>
    <xf numFmtId="0" fontId="17" fillId="2" borderId="57" xfId="0" applyFont="1" applyBorder="1" applyAlignment="1">
      <alignment vertical="center" wrapText="1"/>
    </xf>
    <xf numFmtId="0" fontId="47" fillId="2" borderId="7" xfId="0" applyFont="1" applyBorder="1" applyAlignment="1">
      <alignment vertical="center" wrapText="1"/>
    </xf>
    <xf numFmtId="0" fontId="10" fillId="2" borderId="15" xfId="0" applyFont="1" applyBorder="1">
      <alignment vertical="center"/>
    </xf>
    <xf numFmtId="0" fontId="16" fillId="2" borderId="15" xfId="0" applyFont="1" applyBorder="1" applyAlignment="1">
      <alignment horizontal="left" vertical="center" wrapText="1"/>
    </xf>
    <xf numFmtId="0" fontId="49" fillId="2" borderId="7" xfId="0" applyFont="1" applyBorder="1" applyAlignment="1">
      <alignment vertical="center" wrapText="1"/>
    </xf>
    <xf numFmtId="0" fontId="16" fillId="7" borderId="7" xfId="0" applyFont="1" applyFill="1" applyBorder="1" applyAlignment="1">
      <alignment vertical="center" wrapText="1"/>
    </xf>
    <xf numFmtId="0" fontId="19" fillId="2" borderId="15" xfId="0" applyFont="1" applyBorder="1" applyAlignment="1">
      <alignment horizontal="center" vertical="center"/>
    </xf>
    <xf numFmtId="0" fontId="16" fillId="5" borderId="7" xfId="0" applyFont="1" applyFill="1" applyBorder="1" applyAlignment="1">
      <alignment horizontal="left" vertical="center" wrapText="1"/>
    </xf>
    <xf numFmtId="0" fontId="16" fillId="13" borderId="7" xfId="0" applyFont="1" applyFill="1" applyBorder="1" applyAlignment="1">
      <alignment horizontal="left" vertical="center" wrapText="1"/>
    </xf>
    <xf numFmtId="0" fontId="16" fillId="7" borderId="7" xfId="0" applyFont="1" applyFill="1" applyBorder="1" applyAlignment="1">
      <alignment horizontal="left" vertical="center" wrapText="1"/>
    </xf>
    <xf numFmtId="0" fontId="29" fillId="2" borderId="5" xfId="0" applyFont="1" applyBorder="1" applyAlignment="1">
      <alignment horizontal="left" vertical="center" wrapText="1"/>
    </xf>
    <xf numFmtId="0" fontId="16" fillId="12" borderId="7" xfId="0" applyFont="1" applyFill="1" applyBorder="1" applyAlignment="1">
      <alignment vertical="center" wrapText="1"/>
    </xf>
    <xf numFmtId="0" fontId="13" fillId="2" borderId="58" xfId="0" applyFont="1" applyBorder="1">
      <alignment vertical="center"/>
    </xf>
    <xf numFmtId="0" fontId="17" fillId="9" borderId="7" xfId="0" applyFont="1" applyFill="1" applyBorder="1" applyAlignment="1">
      <alignment vertical="center" wrapText="1"/>
    </xf>
    <xf numFmtId="0" fontId="10" fillId="2" borderId="21" xfId="0" applyFont="1" applyBorder="1">
      <alignment vertical="center"/>
    </xf>
    <xf numFmtId="0" fontId="49" fillId="2" borderId="21" xfId="0" applyFont="1" applyBorder="1" applyAlignment="1">
      <alignment vertical="center" wrapText="1"/>
    </xf>
    <xf numFmtId="0" fontId="16" fillId="9" borderId="7" xfId="0" applyFont="1" applyFill="1" applyBorder="1">
      <alignment vertical="center"/>
    </xf>
    <xf numFmtId="0" fontId="16" fillId="9" borderId="7" xfId="0" applyFont="1" applyFill="1" applyBorder="1" applyAlignment="1">
      <alignment vertical="center" wrapText="1"/>
    </xf>
    <xf numFmtId="0" fontId="43" fillId="9" borderId="58" xfId="0" applyFont="1" applyFill="1" applyBorder="1">
      <alignment vertical="center"/>
    </xf>
    <xf numFmtId="0" fontId="43" fillId="9" borderId="7" xfId="0" applyFont="1" applyFill="1" applyBorder="1">
      <alignment vertical="center"/>
    </xf>
    <xf numFmtId="0" fontId="53" fillId="2" borderId="7" xfId="0" applyFont="1" applyBorder="1" applyAlignment="1">
      <alignment horizontal="center" vertical="center"/>
    </xf>
    <xf numFmtId="0" fontId="10" fillId="2" borderId="5" xfId="0" applyFont="1" applyBorder="1">
      <alignment vertical="center"/>
    </xf>
    <xf numFmtId="0" fontId="16" fillId="2" borderId="5" xfId="0" applyFont="1" applyBorder="1" applyAlignment="1">
      <alignment horizontal="left" vertical="center" wrapText="1"/>
    </xf>
    <xf numFmtId="0" fontId="10" fillId="2" borderId="46" xfId="0" applyFont="1" applyBorder="1">
      <alignment vertical="center"/>
    </xf>
    <xf numFmtId="0" fontId="49" fillId="7" borderId="7" xfId="0" applyFont="1" applyFill="1" applyBorder="1" applyAlignment="1">
      <alignment vertical="center" wrapText="1"/>
    </xf>
    <xf numFmtId="0" fontId="10" fillId="2" borderId="41" xfId="0" applyFont="1" applyBorder="1">
      <alignment vertical="center"/>
    </xf>
    <xf numFmtId="0" fontId="16" fillId="2" borderId="21" xfId="0" applyFont="1" applyBorder="1" applyAlignment="1">
      <alignment horizontal="left" vertical="center" wrapText="1"/>
    </xf>
    <xf numFmtId="0" fontId="17" fillId="2" borderId="58" xfId="0" applyFont="1" applyBorder="1" applyAlignment="1">
      <alignment vertical="center" wrapText="1"/>
    </xf>
    <xf numFmtId="0" fontId="47" fillId="2" borderId="24" xfId="0" applyFont="1" applyBorder="1">
      <alignment vertical="center"/>
    </xf>
    <xf numFmtId="0" fontId="16" fillId="11" borderId="7" xfId="0" applyFont="1" applyFill="1" applyBorder="1" applyAlignment="1">
      <alignment horizontal="left" vertical="center" wrapText="1"/>
    </xf>
    <xf numFmtId="0" fontId="17" fillId="2" borderId="51" xfId="0" applyFont="1" applyBorder="1" applyAlignment="1">
      <alignment vertical="center" wrapText="1"/>
    </xf>
    <xf numFmtId="0" fontId="16" fillId="6" borderId="7" xfId="0" applyFont="1" applyFill="1" applyBorder="1" applyAlignment="1">
      <alignment horizontal="left" vertical="center" wrapText="1"/>
    </xf>
    <xf numFmtId="0" fontId="53" fillId="2" borderId="25" xfId="0" applyFont="1" applyBorder="1" applyAlignment="1">
      <alignment horizontal="center" vertical="center"/>
    </xf>
    <xf numFmtId="0" fontId="49" fillId="2" borderId="5" xfId="0" applyFont="1" applyBorder="1" applyAlignment="1">
      <alignment vertical="center" wrapText="1"/>
    </xf>
    <xf numFmtId="0" fontId="13" fillId="2" borderId="10" xfId="0" applyFont="1" applyBorder="1">
      <alignment vertical="center"/>
    </xf>
    <xf numFmtId="0" fontId="17" fillId="9" borderId="5" xfId="0" applyFont="1" applyFill="1" applyBorder="1" applyAlignment="1">
      <alignment vertical="center" wrapText="1"/>
    </xf>
    <xf numFmtId="0" fontId="17" fillId="13" borderId="52" xfId="0" applyFont="1" applyFill="1" applyBorder="1" applyAlignment="1">
      <alignment vertical="center" wrapText="1"/>
    </xf>
    <xf numFmtId="0" fontId="17" fillId="2" borderId="10" xfId="0" applyFont="1" applyBorder="1" applyAlignment="1">
      <alignment vertical="center" wrapText="1"/>
    </xf>
    <xf numFmtId="0" fontId="21" fillId="2" borderId="24" xfId="0" applyFont="1" applyBorder="1" applyAlignment="1">
      <alignment vertical="center" wrapText="1"/>
    </xf>
    <xf numFmtId="0" fontId="17" fillId="2" borderId="12" xfId="0" applyFont="1" applyBorder="1" applyAlignment="1">
      <alignment vertical="center" wrapText="1"/>
    </xf>
    <xf numFmtId="49" fontId="17" fillId="2" borderId="5" xfId="0" applyNumberFormat="1" applyFont="1" applyBorder="1" applyAlignment="1">
      <alignment vertical="center" wrapText="1"/>
    </xf>
    <xf numFmtId="0" fontId="40" fillId="2" borderId="12" xfId="0" applyFont="1" applyBorder="1" applyAlignment="1">
      <alignment horizontal="left" vertical="center"/>
    </xf>
    <xf numFmtId="0" fontId="40" fillId="2" borderId="5" xfId="0" applyFont="1" applyBorder="1" applyAlignment="1">
      <alignment horizontal="left" vertical="center" wrapText="1"/>
    </xf>
    <xf numFmtId="0" fontId="41" fillId="2" borderId="5" xfId="0" applyFont="1" applyBorder="1" applyAlignment="1">
      <alignment vertical="center" wrapText="1"/>
    </xf>
    <xf numFmtId="0" fontId="17" fillId="0" borderId="7" xfId="0" applyFont="1" applyFill="1" applyBorder="1" applyAlignment="1">
      <alignment vertical="center" wrapText="1"/>
    </xf>
    <xf numFmtId="0" fontId="17" fillId="14" borderId="19" xfId="0" applyFont="1" applyFill="1" applyBorder="1" applyAlignment="1">
      <alignment horizontal="left" vertical="center" wrapText="1"/>
    </xf>
    <xf numFmtId="0" fontId="54" fillId="0" borderId="7" xfId="0" applyFont="1" applyFill="1" applyBorder="1" applyAlignment="1">
      <alignment vertical="center" wrapText="1"/>
    </xf>
    <xf numFmtId="0" fontId="23" fillId="0" borderId="7" xfId="0" applyFont="1" applyFill="1" applyBorder="1" applyAlignment="1">
      <alignment vertical="center" wrapText="1"/>
    </xf>
    <xf numFmtId="0" fontId="55" fillId="0" borderId="7" xfId="0" applyFont="1" applyFill="1" applyBorder="1" applyAlignment="1">
      <alignment vertical="center" wrapText="1"/>
    </xf>
    <xf numFmtId="0" fontId="17" fillId="9" borderId="10" xfId="0" applyFont="1" applyFill="1" applyBorder="1" applyAlignment="1">
      <alignment vertical="center" wrapText="1"/>
    </xf>
    <xf numFmtId="0" fontId="47" fillId="9" borderId="7" xfId="0" applyFont="1" applyFill="1" applyBorder="1" applyAlignment="1">
      <alignment horizontal="left" vertical="center"/>
    </xf>
    <xf numFmtId="0" fontId="45" fillId="0" borderId="7" xfId="0" applyFont="1" applyFill="1" applyBorder="1" applyAlignment="1">
      <alignment vertical="center" wrapText="1"/>
    </xf>
    <xf numFmtId="0" fontId="23" fillId="0" borderId="7" xfId="0" applyFont="1" applyFill="1" applyBorder="1">
      <alignment vertical="center"/>
    </xf>
    <xf numFmtId="0" fontId="56" fillId="14" borderId="7" xfId="0" applyFont="1" applyFill="1" applyBorder="1" applyAlignment="1">
      <alignment horizontal="left" vertical="center" wrapText="1"/>
    </xf>
    <xf numFmtId="0" fontId="17" fillId="14" borderId="10" xfId="0" applyFont="1" applyFill="1" applyBorder="1" applyAlignment="1">
      <alignment vertical="center" wrapText="1"/>
    </xf>
    <xf numFmtId="0" fontId="28" fillId="0" borderId="0" xfId="0" applyFont="1" applyFill="1" applyBorder="1" applyAlignment="1">
      <alignment vertical="center" wrapText="1"/>
    </xf>
    <xf numFmtId="0" fontId="28" fillId="0" borderId="7" xfId="0" applyFont="1" applyFill="1" applyBorder="1" applyAlignment="1">
      <alignment vertical="center" wrapText="1"/>
    </xf>
    <xf numFmtId="0" fontId="57" fillId="9" borderId="7" xfId="0" applyFont="1" applyFill="1" applyBorder="1" applyAlignment="1">
      <alignment vertical="center" wrapText="1"/>
    </xf>
    <xf numFmtId="0" fontId="16" fillId="0" borderId="7" xfId="0" applyFont="1" applyFill="1" applyBorder="1">
      <alignment vertical="center"/>
    </xf>
    <xf numFmtId="0" fontId="17" fillId="0" borderId="7" xfId="0" applyFont="1" applyFill="1" applyBorder="1">
      <alignment vertical="center"/>
    </xf>
    <xf numFmtId="0" fontId="58" fillId="0" borderId="7" xfId="0" applyFont="1" applyFill="1" applyBorder="1">
      <alignment vertical="center"/>
    </xf>
    <xf numFmtId="0" fontId="24" fillId="14" borderId="6" xfId="0" applyFont="1" applyFill="1" applyBorder="1" applyAlignment="1">
      <alignment horizontal="left" vertical="center" wrapText="1"/>
    </xf>
    <xf numFmtId="0" fontId="17" fillId="2" borderId="10" xfId="0" applyFont="1" applyBorder="1" applyAlignment="1">
      <alignment horizontal="left" vertical="center" wrapText="1"/>
    </xf>
    <xf numFmtId="0" fontId="19" fillId="8" borderId="7" xfId="0" applyFont="1" applyFill="1" applyBorder="1" applyAlignment="1">
      <alignment vertical="center" wrapText="1"/>
    </xf>
    <xf numFmtId="0" fontId="17" fillId="14" borderId="7" xfId="0" applyFont="1" applyFill="1" applyBorder="1" applyAlignment="1">
      <alignment horizontal="left" vertical="center" wrapText="1"/>
    </xf>
    <xf numFmtId="0" fontId="17" fillId="14" borderId="12" xfId="0" applyFont="1" applyFill="1" applyBorder="1" applyAlignment="1">
      <alignment horizontal="left" vertical="center" wrapText="1"/>
    </xf>
    <xf numFmtId="0" fontId="0" fillId="15" borderId="7" xfId="0" applyFill="1" applyBorder="1" applyAlignment="1">
      <alignment vertical="center" wrapText="1"/>
    </xf>
    <xf numFmtId="0" fontId="0" fillId="15" borderId="7" xfId="0" applyFill="1" applyBorder="1">
      <alignment vertical="center"/>
    </xf>
    <xf numFmtId="0" fontId="59" fillId="2" borderId="10" xfId="0" applyFont="1" applyBorder="1">
      <alignment vertical="center"/>
    </xf>
    <xf numFmtId="0" fontId="40" fillId="2" borderId="10" xfId="0" applyFont="1" applyBorder="1" applyAlignment="1">
      <alignment horizontal="left" vertical="center"/>
    </xf>
    <xf numFmtId="0" fontId="60" fillId="2" borderId="57" xfId="0" applyFont="1" applyBorder="1" applyAlignment="1">
      <alignment horizontal="left" vertical="center" wrapText="1"/>
    </xf>
    <xf numFmtId="0" fontId="16" fillId="2" borderId="19" xfId="0" applyFont="1" applyBorder="1" applyAlignment="1">
      <alignment horizontal="left" vertical="center" wrapText="1"/>
    </xf>
    <xf numFmtId="0" fontId="61" fillId="2" borderId="15" xfId="0" applyFont="1" applyBorder="1">
      <alignment vertical="center"/>
    </xf>
    <xf numFmtId="0" fontId="34" fillId="2" borderId="15" xfId="0" applyFont="1" applyBorder="1">
      <alignment vertical="center"/>
    </xf>
    <xf numFmtId="0" fontId="0" fillId="0" borderId="15" xfId="0" applyFill="1" applyBorder="1">
      <alignment vertical="center"/>
    </xf>
    <xf numFmtId="0" fontId="0" fillId="0" borderId="15" xfId="0" applyFill="1" applyBorder="1" applyAlignment="1">
      <alignment vertical="center" wrapText="1"/>
    </xf>
    <xf numFmtId="0" fontId="0" fillId="0" borderId="19" xfId="0" applyFill="1" applyBorder="1">
      <alignment vertical="center"/>
    </xf>
    <xf numFmtId="0" fontId="8" fillId="6" borderId="3" xfId="0" applyFont="1" applyFill="1" applyBorder="1" applyAlignment="1">
      <alignment horizontal="left" vertical="center"/>
    </xf>
    <xf numFmtId="0" fontId="6" fillId="6" borderId="3" xfId="0" applyFont="1" applyFill="1" applyBorder="1" applyAlignment="1">
      <alignment vertical="center" wrapText="1"/>
    </xf>
    <xf numFmtId="0" fontId="8" fillId="6" borderId="3" xfId="0" applyFont="1" applyFill="1" applyBorder="1" applyAlignment="1">
      <alignment vertical="center" wrapText="1"/>
    </xf>
    <xf numFmtId="0" fontId="8" fillId="6" borderId="3" xfId="0" applyFont="1" applyFill="1" applyBorder="1">
      <alignment vertical="center"/>
    </xf>
    <xf numFmtId="0" fontId="8" fillId="6" borderId="11" xfId="0" applyFont="1" applyFill="1" applyBorder="1">
      <alignment vertical="center"/>
    </xf>
    <xf numFmtId="0" fontId="8" fillId="6" borderId="30" xfId="0" applyFont="1" applyFill="1" applyBorder="1">
      <alignment vertical="center"/>
    </xf>
    <xf numFmtId="0" fontId="0" fillId="0" borderId="1" xfId="0" applyFill="1" applyBorder="1" applyAlignment="1">
      <alignment vertical="center" wrapText="1"/>
    </xf>
    <xf numFmtId="0" fontId="0" fillId="0" borderId="0" xfId="0" applyFill="1" applyBorder="1" applyAlignment="1">
      <alignment vertical="center" wrapText="1"/>
    </xf>
    <xf numFmtId="0" fontId="4" fillId="0" borderId="0" xfId="0" applyFont="1" applyFill="1" applyBorder="1" applyAlignment="1">
      <alignment vertical="center" wrapText="1"/>
    </xf>
    <xf numFmtId="0" fontId="0" fillId="0" borderId="59" xfId="0" applyFill="1" applyBorder="1" applyAlignment="1">
      <alignment vertical="center" wrapText="1"/>
    </xf>
    <xf numFmtId="0" fontId="62" fillId="0" borderId="0" xfId="0" applyFont="1" applyFill="1" applyBorder="1" applyAlignment="1">
      <alignment vertical="center" wrapText="1"/>
    </xf>
    <xf numFmtId="0" fontId="0" fillId="0" borderId="52" xfId="0" applyFill="1" applyBorder="1">
      <alignment vertical="center"/>
    </xf>
    <xf numFmtId="0" fontId="0" fillId="0" borderId="52" xfId="0" applyFill="1" applyBorder="1" applyAlignment="1">
      <alignment vertical="center" wrapText="1"/>
    </xf>
    <xf numFmtId="0" fontId="4" fillId="0" borderId="52" xfId="0" applyFont="1" applyFill="1" applyBorder="1" applyAlignment="1">
      <alignment vertical="center" wrapText="1"/>
    </xf>
    <xf numFmtId="0" fontId="63" fillId="0" borderId="0" xfId="0" applyFont="1" applyFill="1" applyBorder="1" applyAlignment="1">
      <alignment vertical="center" wrapText="1"/>
    </xf>
    <xf numFmtId="0" fontId="0" fillId="0" borderId="1" xfId="0" applyFill="1" applyBorder="1">
      <alignment vertical="center"/>
    </xf>
    <xf numFmtId="0" fontId="64" fillId="0" borderId="0" xfId="0" applyFont="1" applyFill="1" applyBorder="1" applyAlignment="1">
      <alignment vertical="center" wrapText="1"/>
    </xf>
    <xf numFmtId="0" fontId="29" fillId="0" borderId="0" xfId="0" applyFont="1" applyFill="1" applyBorder="1">
      <alignment vertical="center"/>
    </xf>
    <xf numFmtId="0" fontId="65" fillId="0" borderId="0" xfId="0" applyFont="1" applyFill="1" applyBorder="1" applyAlignment="1">
      <alignment horizontal="center" vertical="center" wrapText="1"/>
    </xf>
    <xf numFmtId="0" fontId="66" fillId="0" borderId="57" xfId="0" applyFont="1" applyFill="1" applyBorder="1" applyAlignment="1">
      <alignment vertical="center" wrapText="1"/>
    </xf>
    <xf numFmtId="0" fontId="66" fillId="0" borderId="57" xfId="0" applyFont="1" applyFill="1" applyBorder="1" applyAlignment="1">
      <alignment horizontal="right" vertical="center" wrapText="1"/>
    </xf>
    <xf numFmtId="0" fontId="67" fillId="0" borderId="36" xfId="0" applyFont="1" applyFill="1" applyBorder="1" applyAlignment="1">
      <alignment horizontal="center" vertical="center" wrapText="1"/>
    </xf>
    <xf numFmtId="0" fontId="67" fillId="0" borderId="35" xfId="0" applyFont="1" applyFill="1" applyBorder="1" applyAlignment="1">
      <alignment horizontal="center" vertical="center" wrapText="1"/>
    </xf>
    <xf numFmtId="0" fontId="67" fillId="0" borderId="12" xfId="0" applyFont="1" applyFill="1" applyBorder="1" applyAlignment="1">
      <alignment horizontal="center" vertical="center" wrapText="1"/>
    </xf>
    <xf numFmtId="0" fontId="67" fillId="0" borderId="5" xfId="0" applyFont="1" applyFill="1" applyBorder="1" applyAlignment="1">
      <alignment horizontal="center" vertical="center" wrapText="1"/>
    </xf>
    <xf numFmtId="0" fontId="67" fillId="0" borderId="1" xfId="0" applyFont="1" applyFill="1" applyBorder="1" applyAlignment="1">
      <alignment horizontal="center" vertical="center" wrapText="1"/>
    </xf>
    <xf numFmtId="0" fontId="66" fillId="0" borderId="10" xfId="0" applyFont="1" applyFill="1" applyBorder="1" applyAlignment="1">
      <alignment horizontal="center" vertical="center"/>
    </xf>
    <xf numFmtId="0" fontId="66" fillId="0" borderId="7" xfId="0" applyFont="1" applyFill="1" applyBorder="1" applyAlignment="1">
      <alignment vertical="center" wrapText="1"/>
    </xf>
    <xf numFmtId="0" fontId="66" fillId="0" borderId="10" xfId="0" applyFont="1" applyFill="1" applyBorder="1" applyAlignment="1">
      <alignment horizontal="center" vertical="center" wrapText="1"/>
    </xf>
    <xf numFmtId="0" fontId="66" fillId="0" borderId="10" xfId="0" applyFont="1" applyFill="1" applyBorder="1" applyAlignment="1">
      <alignment vertical="center" wrapText="1"/>
    </xf>
    <xf numFmtId="0" fontId="66" fillId="0" borderId="50" xfId="0" applyFont="1" applyFill="1" applyBorder="1" applyAlignment="1">
      <alignment vertical="center" wrapText="1"/>
    </xf>
    <xf numFmtId="0" fontId="66" fillId="0" borderId="19" xfId="0" applyFont="1" applyFill="1" applyBorder="1" applyAlignment="1">
      <alignment horizontal="center" vertical="center"/>
    </xf>
    <xf numFmtId="0" fontId="66" fillId="0" borderId="15" xfId="0" applyFont="1" applyFill="1" applyBorder="1" applyAlignment="1">
      <alignment vertical="center" wrapText="1"/>
    </xf>
    <xf numFmtId="0" fontId="66" fillId="0" borderId="19" xfId="0" applyFont="1" applyFill="1" applyBorder="1" applyAlignment="1">
      <alignment horizontal="center" vertical="center" wrapText="1"/>
    </xf>
    <xf numFmtId="0" fontId="66" fillId="0" borderId="19" xfId="0" applyFont="1" applyFill="1" applyBorder="1" applyAlignment="1">
      <alignment vertical="center" wrapText="1"/>
    </xf>
    <xf numFmtId="0" fontId="66" fillId="0" borderId="15" xfId="0" applyFont="1" applyFill="1" applyBorder="1" applyAlignment="1">
      <alignment horizontal="center" vertical="center" wrapText="1"/>
    </xf>
    <xf numFmtId="0" fontId="68" fillId="0" borderId="19" xfId="0" applyFont="1" applyFill="1" applyBorder="1" applyAlignment="1">
      <alignment horizontal="center" vertical="center" wrapText="1"/>
    </xf>
    <xf numFmtId="0" fontId="17" fillId="10" borderId="11" xfId="0" applyFont="1" applyFill="1" applyBorder="1" applyAlignment="1">
      <alignment vertical="center" wrapText="1"/>
    </xf>
    <xf numFmtId="0" fontId="29" fillId="0" borderId="0" xfId="0" applyFont="1" applyFill="1" applyBorder="1" applyAlignment="1">
      <alignment vertical="center" wrapText="1"/>
    </xf>
    <xf numFmtId="0" fontId="68" fillId="0" borderId="0" xfId="0" applyFont="1" applyFill="1" applyBorder="1" applyAlignment="1">
      <alignment vertical="center" wrapText="1"/>
    </xf>
    <xf numFmtId="0" fontId="69" fillId="0" borderId="0" xfId="0" applyFont="1" applyFill="1" applyBorder="1" applyAlignment="1">
      <alignment vertical="center" wrapText="1"/>
    </xf>
    <xf numFmtId="0" fontId="70" fillId="6" borderId="0" xfId="0" applyFont="1" applyFill="1" applyBorder="1" applyAlignment="1">
      <alignment vertical="center" wrapText="1"/>
    </xf>
    <xf numFmtId="0" fontId="70" fillId="10" borderId="0" xfId="0" applyFont="1" applyFill="1" applyBorder="1" applyAlignment="1">
      <alignment vertical="center" wrapText="1"/>
    </xf>
    <xf numFmtId="0" fontId="66" fillId="16" borderId="0" xfId="0" applyFont="1" applyFill="1" applyBorder="1" applyAlignment="1">
      <alignment wrapText="1"/>
    </xf>
    <xf numFmtId="0" fontId="66" fillId="6" borderId="0" xfId="0" applyFont="1" applyFill="1" applyBorder="1" applyAlignment="1">
      <alignment vertical="center" wrapText="1"/>
    </xf>
    <xf numFmtId="0" fontId="66" fillId="16" borderId="0" xfId="0" applyFont="1" applyFill="1" applyBorder="1" applyAlignment="1">
      <alignment horizontal="center" wrapText="1"/>
    </xf>
    <xf numFmtId="0" fontId="48" fillId="16" borderId="0" xfId="0" applyFont="1" applyFill="1" applyBorder="1" applyAlignment="1"/>
    <xf numFmtId="0" fontId="68" fillId="0" borderId="19" xfId="0" applyFont="1" applyFill="1" applyBorder="1" applyAlignment="1">
      <alignment vertical="center" wrapText="1"/>
    </xf>
    <xf numFmtId="0" fontId="66" fillId="0" borderId="8" xfId="0" applyFont="1" applyFill="1" applyBorder="1" applyAlignment="1">
      <alignment vertical="center" wrapText="1"/>
    </xf>
    <xf numFmtId="0" fontId="0" fillId="0" borderId="5" xfId="0" applyFill="1" applyBorder="1">
      <alignment vertical="center"/>
    </xf>
    <xf numFmtId="0" fontId="68" fillId="17" borderId="0" xfId="0" applyFont="1" applyFill="1" applyBorder="1">
      <alignment vertical="center"/>
    </xf>
    <xf numFmtId="0" fontId="66" fillId="0" borderId="60" xfId="0" applyFont="1" applyFill="1" applyBorder="1" applyAlignment="1">
      <alignment vertical="center" wrapText="1"/>
    </xf>
    <xf numFmtId="0" fontId="5" fillId="2" borderId="65" xfId="0" applyFont="1" applyBorder="1" applyAlignment="1">
      <alignment vertical="center" wrapText="1"/>
    </xf>
    <xf numFmtId="0" fontId="0" fillId="0" borderId="10" xfId="0" applyFill="1" applyBorder="1">
      <alignment vertical="center"/>
    </xf>
    <xf numFmtId="176" fontId="3" fillId="3" borderId="7" xfId="0" applyNumberFormat="1" applyFont="1" applyFill="1" applyBorder="1" applyAlignment="1">
      <alignment horizontal="center" vertical="center"/>
    </xf>
    <xf numFmtId="0" fontId="5" fillId="2" borderId="2" xfId="0" applyFont="1" applyBorder="1">
      <alignment vertical="center"/>
    </xf>
    <xf numFmtId="0" fontId="4" fillId="4" borderId="31"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12" xfId="0" applyFont="1" applyFill="1" applyBorder="1" applyAlignment="1">
      <alignment horizontal="center" vertical="center"/>
    </xf>
    <xf numFmtId="0" fontId="5" fillId="2" borderId="66" xfId="0" applyFont="1" applyBorder="1">
      <alignment vertical="center"/>
    </xf>
    <xf numFmtId="0" fontId="73" fillId="2" borderId="1" xfId="0" applyFont="1" applyBorder="1">
      <alignment vertical="center"/>
    </xf>
    <xf numFmtId="0" fontId="5" fillId="2" borderId="73" xfId="0" applyFont="1" applyBorder="1">
      <alignment vertical="center"/>
    </xf>
    <xf numFmtId="0" fontId="5" fillId="2" borderId="1" xfId="0" applyFont="1" applyBorder="1">
      <alignment vertical="center"/>
    </xf>
    <xf numFmtId="0" fontId="4" fillId="4" borderId="18" xfId="0" applyFont="1" applyFill="1" applyBorder="1">
      <alignment vertical="center"/>
    </xf>
    <xf numFmtId="0" fontId="5" fillId="2" borderId="5" xfId="0" applyFont="1" applyBorder="1">
      <alignment vertical="center"/>
    </xf>
    <xf numFmtId="0" fontId="5" fillId="2" borderId="12" xfId="0" applyFont="1" applyBorder="1">
      <alignment vertical="center"/>
    </xf>
    <xf numFmtId="0" fontId="74" fillId="8" borderId="44" xfId="0" applyFont="1" applyFill="1" applyBorder="1" applyAlignment="1">
      <alignment horizontal="left" vertical="center"/>
    </xf>
    <xf numFmtId="0" fontId="22" fillId="2" borderId="6" xfId="0" applyFont="1" applyBorder="1" applyAlignment="1">
      <alignment vertical="center" wrapText="1"/>
    </xf>
    <xf numFmtId="0" fontId="75" fillId="2" borderId="6" xfId="0" applyFont="1" applyBorder="1" applyAlignment="1">
      <alignment vertical="center" wrapText="1"/>
    </xf>
    <xf numFmtId="0" fontId="74" fillId="8" borderId="45" xfId="0" applyFont="1" applyFill="1" applyBorder="1" applyAlignment="1">
      <alignment horizontal="left" vertical="center"/>
    </xf>
    <xf numFmtId="0" fontId="74" fillId="2" borderId="6" xfId="0" applyFont="1" applyBorder="1">
      <alignment vertical="center"/>
    </xf>
    <xf numFmtId="0" fontId="74" fillId="2" borderId="6" xfId="0" applyFont="1" applyBorder="1" applyAlignment="1">
      <alignment vertical="center" wrapText="1"/>
    </xf>
    <xf numFmtId="0" fontId="24" fillId="2" borderId="7" xfId="0" applyFont="1" applyBorder="1" applyAlignment="1">
      <alignment vertical="center" wrapText="1"/>
    </xf>
    <xf numFmtId="0" fontId="77" fillId="0" borderId="7" xfId="0" applyFont="1" applyFill="1" applyBorder="1">
      <alignment vertical="center"/>
    </xf>
    <xf numFmtId="0" fontId="74" fillId="8" borderId="13" xfId="0" applyFont="1" applyFill="1" applyBorder="1" applyAlignment="1">
      <alignment horizontal="left" vertical="center"/>
    </xf>
    <xf numFmtId="0" fontId="50" fillId="9" borderId="13" xfId="0" applyFont="1" applyFill="1" applyBorder="1" applyAlignment="1">
      <alignment vertical="center" wrapText="1"/>
    </xf>
    <xf numFmtId="0" fontId="50" fillId="13" borderId="13" xfId="0" applyFont="1" applyFill="1" applyBorder="1" applyAlignment="1">
      <alignment vertical="center" wrapText="1"/>
    </xf>
    <xf numFmtId="0" fontId="15" fillId="2" borderId="13" xfId="0" applyFont="1" applyBorder="1" applyAlignment="1">
      <alignment vertical="center" wrapText="1"/>
    </xf>
    <xf numFmtId="0" fontId="44" fillId="2" borderId="13" xfId="0" applyFont="1" applyBorder="1" applyAlignment="1">
      <alignment vertical="center" wrapText="1"/>
    </xf>
    <xf numFmtId="0" fontId="50" fillId="2" borderId="13" xfId="0" applyFont="1" applyBorder="1">
      <alignment vertical="center"/>
    </xf>
    <xf numFmtId="0" fontId="0" fillId="6" borderId="16" xfId="0" applyFill="1" applyBorder="1" applyAlignment="1">
      <alignment vertical="center" wrapText="1"/>
    </xf>
    <xf numFmtId="0" fontId="0" fillId="6" borderId="19" xfId="0" applyFill="1" applyBorder="1">
      <alignment vertical="center"/>
    </xf>
    <xf numFmtId="0" fontId="74" fillId="8" borderId="27" xfId="0" applyFont="1" applyFill="1" applyBorder="1" applyAlignment="1">
      <alignment horizontal="left" vertical="center" wrapText="1"/>
    </xf>
    <xf numFmtId="0" fontId="50" fillId="9" borderId="27" xfId="0" applyFont="1" applyFill="1" applyBorder="1" applyAlignment="1">
      <alignment vertical="center" wrapText="1"/>
    </xf>
    <xf numFmtId="0" fontId="50" fillId="2" borderId="27" xfId="0" applyFont="1" applyBorder="1" applyAlignment="1">
      <alignment vertical="center" wrapText="1"/>
    </xf>
    <xf numFmtId="0" fontId="0" fillId="6" borderId="25" xfId="0" applyFill="1" applyBorder="1">
      <alignment vertical="center"/>
    </xf>
    <xf numFmtId="0" fontId="0" fillId="6" borderId="31" xfId="0" applyFill="1" applyBorder="1" applyAlignment="1">
      <alignment vertical="center" wrapText="1"/>
    </xf>
    <xf numFmtId="0" fontId="74" fillId="8" borderId="27" xfId="0" applyFont="1" applyFill="1" applyBorder="1" applyAlignment="1">
      <alignment horizontal="left" vertical="center"/>
    </xf>
    <xf numFmtId="0" fontId="78" fillId="2" borderId="27" xfId="0" applyFont="1" applyBorder="1">
      <alignment vertical="center"/>
    </xf>
    <xf numFmtId="0" fontId="22" fillId="2" borderId="27" xfId="0" applyFont="1" applyBorder="1" applyAlignment="1">
      <alignment vertical="center" wrapText="1"/>
    </xf>
    <xf numFmtId="0" fontId="8" fillId="8" borderId="15" xfId="0" applyFont="1" applyFill="1" applyBorder="1" applyAlignment="1">
      <alignment horizontal="left" vertical="center"/>
    </xf>
    <xf numFmtId="0" fontId="8" fillId="2" borderId="7" xfId="0" applyFont="1" applyBorder="1">
      <alignment vertical="center"/>
    </xf>
    <xf numFmtId="0" fontId="8" fillId="8" borderId="21" xfId="0" applyFont="1" applyFill="1" applyBorder="1" applyAlignment="1">
      <alignment horizontal="left" vertical="center" wrapText="1"/>
    </xf>
    <xf numFmtId="0" fontId="74" fillId="8" borderId="76" xfId="0" applyFont="1" applyFill="1" applyBorder="1" applyAlignment="1">
      <alignment horizontal="left" vertical="center"/>
    </xf>
    <xf numFmtId="0" fontId="79" fillId="2" borderId="13" xfId="0" applyFont="1" applyBorder="1" applyAlignment="1">
      <alignment vertical="center" wrapText="1"/>
    </xf>
    <xf numFmtId="0" fontId="24" fillId="11" borderId="6" xfId="0" applyFont="1" applyFill="1" applyBorder="1" applyAlignment="1">
      <alignment vertical="center" wrapText="1"/>
    </xf>
    <xf numFmtId="0" fontId="24" fillId="2" borderId="6" xfId="0" applyFont="1" applyBorder="1" applyAlignment="1">
      <alignment vertical="center" wrapText="1"/>
    </xf>
    <xf numFmtId="0" fontId="34" fillId="6" borderId="7" xfId="0" applyFont="1" applyFill="1" applyBorder="1" applyAlignment="1">
      <alignment vertical="center" wrapText="1"/>
    </xf>
    <xf numFmtId="0" fontId="0" fillId="8" borderId="15" xfId="0" applyFill="1" applyBorder="1">
      <alignment vertical="center"/>
    </xf>
    <xf numFmtId="0" fontId="50" fillId="2" borderId="44" xfId="0" applyFont="1" applyBorder="1" applyAlignment="1">
      <alignment horizontal="left" vertical="center" wrapText="1"/>
    </xf>
    <xf numFmtId="0" fontId="80" fillId="2" borderId="29" xfId="0" applyFont="1" applyBorder="1" applyAlignment="1">
      <alignment vertical="center" wrapText="1"/>
    </xf>
    <xf numFmtId="0" fontId="44" fillId="2" borderId="29" xfId="0" applyFont="1" applyBorder="1" applyAlignment="1">
      <alignment horizontal="left" vertical="center" wrapText="1"/>
    </xf>
    <xf numFmtId="0" fontId="22" fillId="2" borderId="45" xfId="0" applyFont="1" applyBorder="1">
      <alignment vertical="center"/>
    </xf>
    <xf numFmtId="0" fontId="81" fillId="2" borderId="6" xfId="0" applyFont="1" applyBorder="1" applyAlignment="1">
      <alignment horizontal="left" vertical="center"/>
    </xf>
    <xf numFmtId="0" fontId="50" fillId="2" borderId="6" xfId="0" applyFont="1" applyBorder="1" applyAlignment="1">
      <alignment horizontal="left" vertical="center"/>
    </xf>
    <xf numFmtId="0" fontId="82" fillId="8" borderId="31" xfId="0" applyFont="1" applyFill="1" applyBorder="1" applyAlignment="1">
      <alignment horizontal="left" vertical="center"/>
    </xf>
    <xf numFmtId="0" fontId="83" fillId="8" borderId="13" xfId="0" applyFont="1" applyFill="1" applyBorder="1" applyAlignment="1">
      <alignment horizontal="left" vertical="center"/>
    </xf>
    <xf numFmtId="0" fontId="16" fillId="6" borderId="15" xfId="0" applyFont="1" applyFill="1" applyBorder="1">
      <alignment vertical="center"/>
    </xf>
    <xf numFmtId="0" fontId="44" fillId="2" borderId="13" xfId="0" applyFont="1" applyBorder="1" applyAlignment="1">
      <alignment horizontal="left" vertical="center" wrapText="1"/>
    </xf>
    <xf numFmtId="0" fontId="22" fillId="2" borderId="13" xfId="0" applyFont="1" applyBorder="1" applyAlignment="1">
      <alignment vertical="center" wrapText="1"/>
    </xf>
    <xf numFmtId="0" fontId="83" fillId="8" borderId="6" xfId="0" applyFont="1" applyFill="1" applyBorder="1" applyAlignment="1">
      <alignment horizontal="left" vertical="center"/>
    </xf>
    <xf numFmtId="0" fontId="16" fillId="6" borderId="25" xfId="0" applyFont="1" applyFill="1" applyBorder="1" applyAlignment="1">
      <alignment vertical="center" wrapText="1"/>
    </xf>
    <xf numFmtId="0" fontId="44" fillId="2" borderId="6" xfId="0" applyFont="1" applyBorder="1" applyAlignment="1">
      <alignment horizontal="left" vertical="center"/>
    </xf>
    <xf numFmtId="0" fontId="15" fillId="2" borderId="6" xfId="0" applyFont="1" applyBorder="1" applyAlignment="1">
      <alignment vertical="center" wrapText="1"/>
    </xf>
    <xf numFmtId="0" fontId="0" fillId="6" borderId="8" xfId="0" applyFill="1" applyBorder="1">
      <alignment vertical="center"/>
    </xf>
    <xf numFmtId="0" fontId="22" fillId="2" borderId="77" xfId="0" applyFont="1" applyBorder="1">
      <alignment vertical="center"/>
    </xf>
    <xf numFmtId="0" fontId="77" fillId="0" borderId="0" xfId="0" applyFont="1" applyFill="1" applyBorder="1">
      <alignment vertical="center"/>
    </xf>
    <xf numFmtId="0" fontId="0" fillId="0" borderId="36" xfId="0" applyFill="1" applyBorder="1">
      <alignment vertical="center"/>
    </xf>
    <xf numFmtId="0" fontId="75" fillId="2" borderId="6" xfId="0" applyFont="1" applyBorder="1" applyAlignment="1">
      <alignment horizontal="left" vertical="center" wrapText="1"/>
    </xf>
    <xf numFmtId="0" fontId="0" fillId="12" borderId="7" xfId="0" applyFill="1" applyBorder="1">
      <alignment vertical="center"/>
    </xf>
    <xf numFmtId="0" fontId="79" fillId="2" borderId="6" xfId="0" applyFont="1" applyBorder="1">
      <alignment vertical="center"/>
    </xf>
    <xf numFmtId="0" fontId="84" fillId="0" borderId="7" xfId="0" applyFont="1" applyFill="1" applyBorder="1" applyAlignment="1">
      <alignment vertical="center" wrapText="1"/>
    </xf>
    <xf numFmtId="0" fontId="0" fillId="6" borderId="10" xfId="0" applyFill="1" applyBorder="1" applyAlignment="1">
      <alignment vertical="center" wrapText="1"/>
    </xf>
    <xf numFmtId="0" fontId="85" fillId="6" borderId="7" xfId="0" applyFont="1" applyFill="1" applyBorder="1" applyAlignment="1">
      <alignment vertical="center" wrapText="1"/>
    </xf>
    <xf numFmtId="0" fontId="34" fillId="6" borderId="7" xfId="0" applyFont="1" applyFill="1" applyBorder="1">
      <alignment vertical="center"/>
    </xf>
    <xf numFmtId="0" fontId="86" fillId="2" borderId="7" xfId="0" applyFont="1" applyBorder="1">
      <alignment vertical="center"/>
    </xf>
    <xf numFmtId="0" fontId="8" fillId="2" borderId="8" xfId="0" applyFont="1" applyBorder="1" applyAlignment="1">
      <alignment horizontal="left" vertical="center"/>
    </xf>
    <xf numFmtId="0" fontId="0" fillId="9" borderId="21" xfId="0" applyFill="1" applyBorder="1">
      <alignment vertical="center"/>
    </xf>
    <xf numFmtId="0" fontId="34" fillId="2" borderId="7" xfId="0" applyFont="1" applyBorder="1" applyAlignment="1">
      <alignment vertical="center" wrapText="1"/>
    </xf>
    <xf numFmtId="0" fontId="87" fillId="2" borderId="7" xfId="0" applyFont="1" applyBorder="1" applyAlignment="1">
      <alignment vertical="center" wrapText="1"/>
    </xf>
    <xf numFmtId="0" fontId="0" fillId="2" borderId="25" xfId="0" applyBorder="1">
      <alignment vertical="center"/>
    </xf>
    <xf numFmtId="0" fontId="0" fillId="9" borderId="21" xfId="0" applyFill="1" applyBorder="1" applyAlignment="1">
      <alignment vertical="center" wrapText="1"/>
    </xf>
    <xf numFmtId="0" fontId="8" fillId="2" borderId="31" xfId="0" applyFont="1" applyBorder="1" applyAlignment="1">
      <alignment horizontal="left" vertical="center"/>
    </xf>
    <xf numFmtId="0" fontId="0" fillId="9" borderId="5" xfId="0" applyFill="1" applyBorder="1" applyAlignment="1">
      <alignment vertical="center" wrapText="1"/>
    </xf>
    <xf numFmtId="0" fontId="0" fillId="9" borderId="5" xfId="0" applyFill="1" applyBorder="1">
      <alignment vertical="center"/>
    </xf>
    <xf numFmtId="0" fontId="13" fillId="2" borderId="34" xfId="0" applyFont="1" applyBorder="1" applyAlignment="1">
      <alignment vertical="center" wrapText="1"/>
    </xf>
    <xf numFmtId="0" fontId="0" fillId="8" borderId="5" xfId="0" applyFill="1" applyBorder="1" applyAlignment="1">
      <alignment vertical="center" wrapText="1"/>
    </xf>
    <xf numFmtId="0" fontId="0" fillId="8" borderId="5" xfId="0" applyFill="1" applyBorder="1">
      <alignment vertical="center"/>
    </xf>
    <xf numFmtId="0" fontId="8" fillId="2" borderId="3" xfId="0" applyFont="1" applyBorder="1" applyAlignment="1">
      <alignment horizontal="left" vertical="center"/>
    </xf>
    <xf numFmtId="0" fontId="88" fillId="2" borderId="7" xfId="0" applyFont="1" applyBorder="1" applyAlignment="1">
      <alignment horizontal="left" vertical="center"/>
    </xf>
    <xf numFmtId="0" fontId="17" fillId="9" borderId="50" xfId="0" applyFont="1" applyFill="1" applyBorder="1" applyAlignment="1">
      <alignment vertical="center" wrapText="1"/>
    </xf>
    <xf numFmtId="0" fontId="0" fillId="2" borderId="10" xfId="0" applyBorder="1">
      <alignment vertical="center"/>
    </xf>
    <xf numFmtId="0" fontId="8" fillId="2" borderId="80" xfId="0" applyFont="1" applyBorder="1" applyAlignment="1">
      <alignment horizontal="left" vertical="center"/>
    </xf>
    <xf numFmtId="0" fontId="0" fillId="6" borderId="36" xfId="0" applyFill="1" applyBorder="1">
      <alignment vertical="center"/>
    </xf>
    <xf numFmtId="0" fontId="82" fillId="8" borderId="7" xfId="0" applyFont="1" applyFill="1" applyBorder="1" applyAlignment="1">
      <alignment horizontal="left" vertical="center"/>
    </xf>
    <xf numFmtId="0" fontId="34" fillId="2" borderId="7" xfId="0" applyFont="1" applyBorder="1" applyAlignment="1">
      <alignment horizontal="left" vertical="center"/>
    </xf>
    <xf numFmtId="0" fontId="34" fillId="2" borderId="1" xfId="0" applyFont="1" applyBorder="1">
      <alignment vertical="center"/>
    </xf>
    <xf numFmtId="0" fontId="48" fillId="0" borderId="0" xfId="0" applyFont="1" applyFill="1" applyBorder="1" applyAlignment="1">
      <alignment horizontal="center" vertical="center" wrapText="1"/>
    </xf>
    <xf numFmtId="0" fontId="48" fillId="18" borderId="0" xfId="0" applyFont="1" applyFill="1" applyBorder="1" applyAlignment="1">
      <alignment vertical="center" wrapText="1"/>
    </xf>
    <xf numFmtId="0" fontId="48" fillId="0" borderId="0" xfId="0" applyFont="1" applyFill="1" applyBorder="1" applyAlignment="1">
      <alignment vertical="center" wrapText="1"/>
    </xf>
    <xf numFmtId="177" fontId="48" fillId="0" borderId="0" xfId="0" applyNumberFormat="1" applyFont="1" applyFill="1" applyBorder="1" applyAlignment="1">
      <alignment vertical="center" wrapText="1"/>
    </xf>
    <xf numFmtId="177" fontId="48" fillId="0" borderId="0" xfId="0" applyNumberFormat="1" applyFont="1" applyFill="1" applyBorder="1" applyAlignment="1">
      <alignment horizontal="center" vertical="center" wrapText="1"/>
    </xf>
    <xf numFmtId="0" fontId="0" fillId="0" borderId="0" xfId="0" applyFill="1" applyBorder="1" applyAlignment="1">
      <alignment horizontal="center" vertical="center" wrapText="1"/>
    </xf>
    <xf numFmtId="178" fontId="0" fillId="0" borderId="0" xfId="0" applyNumberFormat="1" applyFill="1" applyBorder="1" applyAlignment="1">
      <alignment horizontal="center" vertical="center" wrapText="1"/>
    </xf>
    <xf numFmtId="177" fontId="48" fillId="0" borderId="0" xfId="0" applyNumberFormat="1" applyFont="1" applyFill="1" applyBorder="1" applyAlignment="1">
      <alignment horizontal="right" vertical="center" wrapText="1"/>
    </xf>
    <xf numFmtId="0" fontId="48" fillId="0" borderId="0" xfId="0" applyFont="1" applyFill="1" applyBorder="1" applyAlignment="1">
      <alignment horizontal="right" vertical="center" wrapText="1"/>
    </xf>
    <xf numFmtId="177" fontId="95" fillId="9" borderId="6" xfId="0" applyNumberFormat="1" applyFont="1" applyFill="1" applyBorder="1" applyAlignment="1">
      <alignment horizontal="center" vertical="center" wrapText="1"/>
    </xf>
    <xf numFmtId="177" fontId="90" fillId="0" borderId="7" xfId="0" applyNumberFormat="1" applyFont="1" applyFill="1" applyBorder="1" applyAlignment="1">
      <alignment horizontal="center" vertical="center" wrapText="1"/>
    </xf>
    <xf numFmtId="0" fontId="48" fillId="21" borderId="7" xfId="0" applyFont="1" applyFill="1" applyBorder="1" applyAlignment="1">
      <alignment horizontal="center" vertical="center" wrapText="1"/>
    </xf>
    <xf numFmtId="0" fontId="6" fillId="21" borderId="7" xfId="0" applyFont="1" applyFill="1" applyBorder="1">
      <alignment vertical="center"/>
    </xf>
    <xf numFmtId="0" fontId="6" fillId="2" borderId="7" xfId="0" applyFont="1" applyBorder="1" applyAlignment="1">
      <alignment vertical="center" wrapText="1"/>
    </xf>
    <xf numFmtId="0" fontId="6" fillId="2" borderId="7" xfId="0" applyFont="1" applyBorder="1" applyAlignment="1">
      <alignment horizontal="center" vertical="center" wrapText="1"/>
    </xf>
    <xf numFmtId="0" fontId="6" fillId="22" borderId="7" xfId="0" applyFont="1" applyFill="1" applyBorder="1" applyAlignment="1">
      <alignment horizontal="center" vertical="center" wrapText="1"/>
    </xf>
    <xf numFmtId="0" fontId="6" fillId="22" borderId="7" xfId="0" applyFont="1" applyFill="1" applyBorder="1" applyAlignment="1">
      <alignment vertical="center" wrapText="1"/>
    </xf>
    <xf numFmtId="0" fontId="6" fillId="21" borderId="7" xfId="0" applyFont="1" applyFill="1" applyBorder="1" applyAlignment="1"/>
    <xf numFmtId="0" fontId="6" fillId="22" borderId="7" xfId="0" applyFont="1" applyFill="1" applyBorder="1">
      <alignment vertical="center"/>
    </xf>
    <xf numFmtId="0" fontId="0" fillId="22" borderId="7" xfId="0" applyFill="1" applyBorder="1" applyAlignment="1">
      <alignment horizontal="center" vertical="center" wrapText="1"/>
    </xf>
    <xf numFmtId="178" fontId="0" fillId="22" borderId="7" xfId="0" applyNumberFormat="1" applyFill="1" applyBorder="1" applyAlignment="1">
      <alignment horizontal="center" vertical="center" wrapText="1"/>
    </xf>
    <xf numFmtId="0" fontId="98" fillId="9" borderId="6"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50" fillId="9" borderId="6" xfId="0" applyFont="1" applyFill="1" applyBorder="1" applyAlignment="1">
      <alignment horizontal="center" vertical="center" wrapText="1"/>
    </xf>
    <xf numFmtId="177" fontId="99" fillId="9" borderId="6" xfId="0" applyNumberFormat="1" applyFont="1" applyFill="1" applyBorder="1" applyAlignment="1">
      <alignment horizontal="center" vertical="center" wrapText="1"/>
    </xf>
    <xf numFmtId="177" fontId="84" fillId="0" borderId="7" xfId="0" applyNumberFormat="1" applyFont="1" applyFill="1" applyBorder="1" applyAlignment="1">
      <alignment horizontal="center" vertical="center" wrapText="1"/>
    </xf>
    <xf numFmtId="179" fontId="84" fillId="0" borderId="7" xfId="0" applyNumberFormat="1" applyFont="1" applyFill="1" applyBorder="1" applyAlignment="1">
      <alignment horizontal="center" vertical="center" wrapText="1"/>
    </xf>
    <xf numFmtId="0" fontId="84" fillId="0" borderId="7" xfId="0" applyFont="1" applyFill="1" applyBorder="1" applyAlignment="1">
      <alignment horizontal="center" vertical="center" wrapText="1"/>
    </xf>
    <xf numFmtId="178" fontId="84" fillId="0" borderId="7" xfId="0" applyNumberFormat="1" applyFont="1" applyFill="1" applyBorder="1" applyAlignment="1">
      <alignment horizontal="center" vertical="center" wrapText="1"/>
    </xf>
    <xf numFmtId="10" fontId="84" fillId="0" borderId="7" xfId="0" applyNumberFormat="1" applyFont="1" applyFill="1" applyBorder="1" applyAlignment="1">
      <alignment horizontal="center" vertical="center" wrapText="1"/>
    </xf>
    <xf numFmtId="0" fontId="0" fillId="0" borderId="7" xfId="0" applyFill="1" applyBorder="1" applyAlignment="1">
      <alignment horizontal="center" vertical="center" wrapText="1"/>
    </xf>
    <xf numFmtId="178" fontId="0" fillId="0" borderId="7" xfId="0" applyNumberFormat="1" applyFill="1" applyBorder="1" applyAlignment="1">
      <alignment horizontal="center" vertical="center" wrapText="1"/>
    </xf>
    <xf numFmtId="0" fontId="48" fillId="9" borderId="7" xfId="0" applyFont="1" applyFill="1" applyBorder="1" applyAlignment="1">
      <alignment horizontal="center" vertical="center" wrapText="1"/>
    </xf>
    <xf numFmtId="0" fontId="6" fillId="9" borderId="7" xfId="0" applyFont="1" applyFill="1" applyBorder="1" applyAlignment="1">
      <alignment horizontal="center" vertical="center" wrapText="1"/>
    </xf>
    <xf numFmtId="177" fontId="84" fillId="9" borderId="7" xfId="0" applyNumberFormat="1" applyFont="1" applyFill="1" applyBorder="1" applyAlignment="1">
      <alignment horizontal="center" vertical="center" wrapText="1"/>
    </xf>
    <xf numFmtId="180" fontId="84" fillId="0" borderId="7" xfId="0" applyNumberFormat="1" applyFont="1" applyFill="1" applyBorder="1" applyAlignment="1">
      <alignment horizontal="center" vertical="center" wrapText="1"/>
    </xf>
    <xf numFmtId="0" fontId="93" fillId="23" borderId="7" xfId="0" applyFont="1" applyFill="1" applyBorder="1" applyAlignment="1">
      <alignment horizontal="left" vertical="center" wrapText="1"/>
    </xf>
    <xf numFmtId="179" fontId="84" fillId="23" borderId="7" xfId="0" applyNumberFormat="1" applyFont="1" applyFill="1" applyBorder="1" applyAlignment="1">
      <alignment horizontal="center" vertical="center" wrapText="1"/>
    </xf>
    <xf numFmtId="179" fontId="84" fillId="24" borderId="7" xfId="0" applyNumberFormat="1" applyFont="1" applyFill="1" applyBorder="1" applyAlignment="1">
      <alignment horizontal="center" vertical="center" wrapText="1"/>
    </xf>
    <xf numFmtId="0" fontId="84" fillId="23" borderId="7" xfId="0" applyFont="1" applyFill="1" applyBorder="1" applyAlignment="1">
      <alignment horizontal="center" vertical="center" wrapText="1"/>
    </xf>
    <xf numFmtId="0" fontId="84" fillId="9" borderId="7" xfId="0" applyFont="1" applyFill="1" applyBorder="1" applyAlignment="1">
      <alignment horizontal="center" vertical="center" wrapText="1"/>
    </xf>
    <xf numFmtId="179" fontId="84" fillId="9" borderId="7" xfId="0" applyNumberFormat="1" applyFont="1" applyFill="1" applyBorder="1" applyAlignment="1">
      <alignment horizontal="center" vertical="center" wrapText="1"/>
    </xf>
    <xf numFmtId="179" fontId="84" fillId="10" borderId="7" xfId="0" applyNumberFormat="1" applyFont="1" applyFill="1" applyBorder="1" applyAlignment="1">
      <alignment horizontal="center" vertical="center" wrapText="1"/>
    </xf>
    <xf numFmtId="179" fontId="99" fillId="26" borderId="6" xfId="0" applyNumberFormat="1" applyFont="1" applyFill="1" applyBorder="1" applyAlignment="1">
      <alignment horizontal="center" vertical="center" wrapText="1"/>
    </xf>
    <xf numFmtId="179" fontId="84" fillId="25" borderId="7" xfId="0" applyNumberFormat="1" applyFont="1" applyFill="1" applyBorder="1" applyAlignment="1">
      <alignment horizontal="center" vertical="center" wrapText="1"/>
    </xf>
    <xf numFmtId="179" fontId="84" fillId="26" borderId="7" xfId="0" applyNumberFormat="1" applyFont="1" applyFill="1" applyBorder="1" applyAlignment="1">
      <alignment horizontal="center" vertical="center" wrapText="1"/>
    </xf>
    <xf numFmtId="0" fontId="101" fillId="21" borderId="6" xfId="0" applyFont="1" applyFill="1" applyBorder="1" applyAlignment="1"/>
    <xf numFmtId="0" fontId="50" fillId="21" borderId="6" xfId="0" applyFont="1" applyFill="1" applyBorder="1" applyAlignment="1">
      <alignment horizontal="center" vertical="center" wrapText="1"/>
    </xf>
    <xf numFmtId="0" fontId="6" fillId="21" borderId="7" xfId="0" applyFont="1" applyFill="1" applyBorder="1" applyAlignment="1">
      <alignment vertical="center" wrapText="1"/>
    </xf>
    <xf numFmtId="0" fontId="48" fillId="0" borderId="7" xfId="0" applyFont="1" applyFill="1" applyBorder="1" applyAlignment="1">
      <alignment horizontal="center" vertical="center" wrapText="1"/>
    </xf>
    <xf numFmtId="0" fontId="48" fillId="23" borderId="7" xfId="0" applyFont="1" applyFill="1" applyBorder="1" applyAlignment="1">
      <alignment horizontal="center" vertical="center" wrapText="1"/>
    </xf>
    <xf numFmtId="181" fontId="84" fillId="0" borderId="7" xfId="0" applyNumberFormat="1" applyFont="1" applyFill="1" applyBorder="1" applyAlignment="1">
      <alignment horizontal="center" vertical="center" wrapText="1"/>
    </xf>
    <xf numFmtId="0" fontId="48" fillId="24" borderId="7" xfId="0" applyFont="1" applyFill="1" applyBorder="1" applyAlignment="1">
      <alignment horizontal="center" vertical="center" wrapText="1"/>
    </xf>
    <xf numFmtId="0" fontId="50" fillId="0" borderId="6" xfId="0" applyFont="1" applyFill="1" applyBorder="1" applyAlignment="1">
      <alignment horizontal="center" vertical="center" wrapText="1"/>
    </xf>
    <xf numFmtId="0" fontId="102" fillId="0" borderId="6" xfId="0" applyFont="1" applyFill="1" applyBorder="1" applyAlignment="1">
      <alignment vertical="center" wrapText="1"/>
    </xf>
    <xf numFmtId="179" fontId="102" fillId="0" borderId="6" xfId="0" applyNumberFormat="1" applyFont="1" applyFill="1" applyBorder="1" applyAlignment="1">
      <alignment horizontal="center" vertical="center" wrapText="1"/>
    </xf>
    <xf numFmtId="179" fontId="102" fillId="26" borderId="6" xfId="0" applyNumberFormat="1" applyFont="1" applyFill="1" applyBorder="1" applyAlignment="1">
      <alignment horizontal="center" vertical="center" wrapText="1"/>
    </xf>
    <xf numFmtId="0" fontId="48" fillId="22" borderId="7" xfId="0" applyFont="1" applyFill="1" applyBorder="1" applyAlignment="1">
      <alignment horizontal="center" vertical="center" wrapText="1"/>
    </xf>
    <xf numFmtId="0" fontId="48" fillId="22" borderId="7" xfId="0" applyFont="1" applyFill="1" applyBorder="1" applyAlignment="1">
      <alignment vertical="center" wrapText="1"/>
    </xf>
    <xf numFmtId="0" fontId="50" fillId="21" borderId="6" xfId="0" applyFont="1" applyFill="1" applyBorder="1" applyAlignment="1">
      <alignment vertical="center" wrapText="1"/>
    </xf>
    <xf numFmtId="177" fontId="50" fillId="21" borderId="6" xfId="0" applyNumberFormat="1" applyFont="1" applyFill="1" applyBorder="1" applyAlignment="1">
      <alignment vertical="center" wrapText="1"/>
    </xf>
    <xf numFmtId="177" fontId="48" fillId="22" borderId="7" xfId="0" applyNumberFormat="1" applyFont="1" applyFill="1" applyBorder="1" applyAlignment="1">
      <alignment vertical="center" wrapText="1"/>
    </xf>
    <xf numFmtId="177" fontId="48" fillId="22" borderId="7" xfId="0" applyNumberFormat="1" applyFont="1" applyFill="1" applyBorder="1" applyAlignment="1">
      <alignment horizontal="center" vertical="center" wrapText="1"/>
    </xf>
    <xf numFmtId="177" fontId="48" fillId="21" borderId="7" xfId="0" applyNumberFormat="1" applyFont="1" applyFill="1" applyBorder="1" applyAlignment="1">
      <alignment horizontal="center" vertical="center" wrapText="1"/>
    </xf>
    <xf numFmtId="0" fontId="48" fillId="6" borderId="7" xfId="0" applyFont="1" applyFill="1" applyBorder="1" applyAlignment="1">
      <alignment horizontal="center" vertical="center" wrapText="1"/>
    </xf>
    <xf numFmtId="0" fontId="50" fillId="2" borderId="6" xfId="0" applyFont="1" applyBorder="1" applyAlignment="1">
      <alignment horizontal="center" vertical="center" wrapText="1"/>
    </xf>
    <xf numFmtId="0" fontId="102" fillId="27" borderId="6" xfId="0" applyFont="1" applyFill="1" applyBorder="1" applyAlignment="1">
      <alignment horizontal="center" vertical="center" wrapText="1"/>
    </xf>
    <xf numFmtId="179" fontId="102" fillId="27" borderId="6" xfId="0" applyNumberFormat="1" applyFont="1" applyFill="1" applyBorder="1" applyAlignment="1">
      <alignment horizontal="center" vertical="center" wrapText="1"/>
    </xf>
    <xf numFmtId="179" fontId="84" fillId="28" borderId="7" xfId="0" applyNumberFormat="1" applyFont="1" applyFill="1" applyBorder="1" applyAlignment="1">
      <alignment horizontal="center" vertical="center" wrapText="1"/>
    </xf>
    <xf numFmtId="0" fontId="84" fillId="28" borderId="7" xfId="0" applyFont="1" applyFill="1" applyBorder="1" applyAlignment="1">
      <alignment horizontal="center" vertical="center" wrapText="1"/>
    </xf>
    <xf numFmtId="179" fontId="84" fillId="6" borderId="7" xfId="0" applyNumberFormat="1" applyFont="1" applyFill="1" applyBorder="1" applyAlignment="1">
      <alignment horizontal="center" vertical="center" wrapText="1"/>
    </xf>
    <xf numFmtId="179" fontId="84" fillId="2" borderId="7" xfId="0" applyNumberFormat="1" applyFont="1" applyBorder="1" applyAlignment="1">
      <alignment horizontal="center" vertical="center" wrapText="1"/>
    </xf>
    <xf numFmtId="177" fontId="84" fillId="28" borderId="7" xfId="0" applyNumberFormat="1" applyFont="1" applyFill="1" applyBorder="1" applyAlignment="1">
      <alignment horizontal="center" vertical="center" wrapText="1"/>
    </xf>
    <xf numFmtId="178" fontId="84" fillId="6" borderId="7" xfId="0" applyNumberFormat="1" applyFont="1" applyFill="1" applyBorder="1" applyAlignment="1">
      <alignment horizontal="center" vertical="center" wrapText="1"/>
    </xf>
    <xf numFmtId="10" fontId="84" fillId="6" borderId="7" xfId="0" applyNumberFormat="1" applyFont="1" applyFill="1" applyBorder="1" applyAlignment="1">
      <alignment horizontal="center" vertical="center" wrapText="1"/>
    </xf>
    <xf numFmtId="0" fontId="0" fillId="6" borderId="7" xfId="0" applyFill="1" applyBorder="1" applyAlignment="1">
      <alignment horizontal="center" vertical="center" wrapText="1"/>
    </xf>
    <xf numFmtId="0" fontId="0" fillId="6" borderId="7" xfId="0" applyFill="1" applyBorder="1" applyAlignment="1">
      <alignment horizontal="center" vertical="center"/>
    </xf>
    <xf numFmtId="177" fontId="0" fillId="6" borderId="7" xfId="0" applyNumberFormat="1" applyFill="1" applyBorder="1" applyAlignment="1">
      <alignment horizontal="center" vertical="center"/>
    </xf>
    <xf numFmtId="178" fontId="0" fillId="6" borderId="7" xfId="0" applyNumberFormat="1" applyFill="1" applyBorder="1" applyAlignment="1">
      <alignment horizontal="center" vertical="center" wrapText="1"/>
    </xf>
    <xf numFmtId="0" fontId="48" fillId="2" borderId="7" xfId="0" applyFont="1" applyBorder="1" applyAlignment="1">
      <alignment horizontal="center" vertical="center" wrapText="1"/>
    </xf>
    <xf numFmtId="179" fontId="84" fillId="27" borderId="7" xfId="0" applyNumberFormat="1" applyFont="1" applyFill="1" applyBorder="1" applyAlignment="1">
      <alignment horizontal="center" vertical="center" wrapText="1"/>
    </xf>
    <xf numFmtId="0" fontId="84" fillId="27" borderId="7" xfId="0" applyFont="1" applyFill="1" applyBorder="1" applyAlignment="1">
      <alignment horizontal="center" vertical="center" wrapText="1"/>
    </xf>
    <xf numFmtId="177" fontId="84" fillId="27" borderId="7" xfId="0" applyNumberFormat="1" applyFont="1" applyFill="1" applyBorder="1" applyAlignment="1">
      <alignment horizontal="center" vertical="center" wrapText="1"/>
    </xf>
    <xf numFmtId="178" fontId="84" fillId="2" borderId="7" xfId="0" applyNumberFormat="1" applyFont="1" applyBorder="1" applyAlignment="1">
      <alignment horizontal="center" vertical="center" wrapText="1"/>
    </xf>
    <xf numFmtId="0" fontId="0" fillId="2" borderId="7" xfId="0" applyBorder="1" applyAlignment="1">
      <alignment horizontal="center" vertical="center" wrapText="1"/>
    </xf>
    <xf numFmtId="178" fontId="0" fillId="2" borderId="7" xfId="0" applyNumberFormat="1" applyBorder="1" applyAlignment="1">
      <alignment horizontal="center" vertical="center" wrapText="1"/>
    </xf>
    <xf numFmtId="0" fontId="48" fillId="12" borderId="7" xfId="0" applyFont="1" applyFill="1" applyBorder="1" applyAlignment="1">
      <alignment horizontal="center" vertical="center" wrapText="1"/>
    </xf>
    <xf numFmtId="0" fontId="104" fillId="2" borderId="7" xfId="0" applyFont="1" applyBorder="1" applyAlignment="1">
      <alignment vertical="center" wrapText="1"/>
    </xf>
    <xf numFmtId="0" fontId="105" fillId="6" borderId="7" xfId="0" applyFont="1" applyFill="1" applyBorder="1" applyAlignment="1">
      <alignment horizontal="center" vertical="center" wrapText="1"/>
    </xf>
    <xf numFmtId="0" fontId="104" fillId="6" borderId="7" xfId="0" applyFont="1" applyFill="1" applyBorder="1" applyAlignment="1">
      <alignment vertical="center" wrapText="1"/>
    </xf>
    <xf numFmtId="177" fontId="84" fillId="6" borderId="7" xfId="0" applyNumberFormat="1" applyFont="1" applyFill="1" applyBorder="1" applyAlignment="1">
      <alignment horizontal="center" vertical="center" wrapText="1"/>
    </xf>
    <xf numFmtId="0" fontId="106" fillId="6" borderId="7" xfId="0" applyFont="1" applyFill="1" applyBorder="1" applyAlignment="1">
      <alignment horizontal="center" vertical="center" wrapText="1"/>
    </xf>
    <xf numFmtId="178" fontId="106" fillId="6" borderId="7" xfId="0" applyNumberFormat="1" applyFont="1" applyFill="1" applyBorder="1" applyAlignment="1">
      <alignment horizontal="center" vertical="center" wrapText="1"/>
    </xf>
    <xf numFmtId="177" fontId="84" fillId="2" borderId="7" xfId="0" applyNumberFormat="1" applyFont="1" applyBorder="1" applyAlignment="1">
      <alignment horizontal="center" vertical="center" wrapText="1"/>
    </xf>
    <xf numFmtId="10" fontId="84" fillId="2" borderId="7" xfId="0" applyNumberFormat="1" applyFont="1" applyBorder="1" applyAlignment="1">
      <alignment horizontal="center" vertical="center" wrapText="1"/>
    </xf>
    <xf numFmtId="0" fontId="17" fillId="2" borderId="7" xfId="0" applyFont="1" applyBorder="1" applyAlignment="1">
      <alignment horizontal="center" vertical="center" wrapText="1"/>
    </xf>
    <xf numFmtId="178" fontId="17" fillId="2" borderId="7" xfId="0" applyNumberFormat="1" applyFont="1" applyBorder="1" applyAlignment="1">
      <alignment horizontal="center" vertical="center" wrapText="1"/>
    </xf>
    <xf numFmtId="178" fontId="48" fillId="22" borderId="7" xfId="0" applyNumberFormat="1" applyFont="1" applyFill="1" applyBorder="1" applyAlignment="1">
      <alignment horizontal="center" vertical="center" wrapText="1"/>
    </xf>
    <xf numFmtId="182" fontId="48" fillId="31" borderId="7" xfId="0" applyNumberFormat="1" applyFont="1" applyFill="1" applyBorder="1" applyAlignment="1">
      <alignment horizontal="center" vertical="center" wrapText="1"/>
    </xf>
    <xf numFmtId="0" fontId="84" fillId="23" borderId="7" xfId="0" applyFont="1" applyFill="1" applyBorder="1" applyAlignment="1">
      <alignment vertical="center" wrapText="1"/>
    </xf>
    <xf numFmtId="177" fontId="84" fillId="31" borderId="7" xfId="0" applyNumberFormat="1" applyFont="1" applyFill="1" applyBorder="1" applyAlignment="1">
      <alignment horizontal="center" vertical="center" wrapText="1"/>
    </xf>
    <xf numFmtId="178" fontId="84" fillId="24" borderId="7" xfId="0" applyNumberFormat="1" applyFont="1" applyFill="1" applyBorder="1" applyAlignment="1">
      <alignment horizontal="center" vertical="center" wrapText="1"/>
    </xf>
    <xf numFmtId="10" fontId="84" fillId="24" borderId="7" xfId="0" applyNumberFormat="1" applyFont="1" applyFill="1" applyBorder="1" applyAlignment="1">
      <alignment horizontal="center" vertical="center" wrapText="1"/>
    </xf>
    <xf numFmtId="0" fontId="0" fillId="24" borderId="7" xfId="0" applyFill="1" applyBorder="1" applyAlignment="1">
      <alignment horizontal="center" vertical="center" wrapText="1"/>
    </xf>
    <xf numFmtId="178" fontId="0" fillId="24" borderId="7" xfId="0" applyNumberFormat="1" applyFill="1" applyBorder="1" applyAlignment="1">
      <alignment horizontal="center" vertical="center" wrapText="1"/>
    </xf>
    <xf numFmtId="182" fontId="48" fillId="32" borderId="7" xfId="0" applyNumberFormat="1" applyFont="1" applyFill="1" applyBorder="1" applyAlignment="1">
      <alignment horizontal="center" vertical="center" wrapText="1"/>
    </xf>
    <xf numFmtId="177" fontId="84" fillId="23" borderId="7" xfId="0" applyNumberFormat="1" applyFont="1" applyFill="1" applyBorder="1" applyAlignment="1">
      <alignment horizontal="center" vertical="center" wrapText="1"/>
    </xf>
    <xf numFmtId="178" fontId="84" fillId="23" borderId="7" xfId="0" applyNumberFormat="1" applyFont="1" applyFill="1" applyBorder="1" applyAlignment="1">
      <alignment horizontal="center" vertical="center" wrapText="1"/>
    </xf>
    <xf numFmtId="10" fontId="84" fillId="23" borderId="7" xfId="0" applyNumberFormat="1" applyFont="1" applyFill="1" applyBorder="1" applyAlignment="1">
      <alignment horizontal="center" vertical="center" wrapText="1"/>
    </xf>
    <xf numFmtId="0" fontId="0" fillId="23" borderId="7" xfId="0" applyFill="1" applyBorder="1" applyAlignment="1">
      <alignment horizontal="center" vertical="center" wrapText="1"/>
    </xf>
    <xf numFmtId="178" fontId="0" fillId="23" borderId="7" xfId="0" applyNumberFormat="1" applyFill="1" applyBorder="1" applyAlignment="1">
      <alignment horizontal="center" vertical="center" wrapText="1"/>
    </xf>
    <xf numFmtId="182" fontId="48" fillId="23" borderId="7" xfId="0" applyNumberFormat="1" applyFont="1" applyFill="1" applyBorder="1" applyAlignment="1">
      <alignment horizontal="center" vertical="center" wrapText="1"/>
    </xf>
    <xf numFmtId="0" fontId="0" fillId="23" borderId="7" xfId="0" applyFill="1" applyBorder="1">
      <alignment vertical="center"/>
    </xf>
    <xf numFmtId="179" fontId="84" fillId="11" borderId="7" xfId="0" applyNumberFormat="1" applyFont="1" applyFill="1" applyBorder="1" applyAlignment="1">
      <alignment horizontal="center" vertical="center" wrapText="1"/>
    </xf>
    <xf numFmtId="182" fontId="48" fillId="24" borderId="7" xfId="0" applyNumberFormat="1" applyFont="1" applyFill="1" applyBorder="1" applyAlignment="1">
      <alignment horizontal="center" vertical="center" wrapText="1"/>
    </xf>
    <xf numFmtId="0" fontId="50" fillId="23" borderId="6" xfId="0" applyFont="1" applyFill="1" applyBorder="1" applyAlignment="1">
      <alignment horizontal="center" vertical="center" wrapText="1"/>
    </xf>
    <xf numFmtId="0" fontId="102" fillId="23" borderId="6" xfId="0" applyFont="1" applyFill="1" applyBorder="1" applyAlignment="1">
      <alignment vertical="center" wrapText="1"/>
    </xf>
    <xf numFmtId="179" fontId="102" fillId="2" borderId="6" xfId="0" applyNumberFormat="1" applyFont="1" applyBorder="1" applyAlignment="1">
      <alignment horizontal="center" vertical="center" wrapText="1"/>
    </xf>
    <xf numFmtId="179" fontId="84" fillId="12" borderId="7" xfId="0" applyNumberFormat="1" applyFont="1" applyFill="1" applyBorder="1" applyAlignment="1">
      <alignment horizontal="center" vertical="center" wrapText="1"/>
    </xf>
    <xf numFmtId="177" fontId="84" fillId="24" borderId="7" xfId="0" applyNumberFormat="1" applyFont="1" applyFill="1" applyBorder="1" applyAlignment="1">
      <alignment horizontal="center" vertical="center" wrapText="1"/>
    </xf>
    <xf numFmtId="0" fontId="84" fillId="6" borderId="7" xfId="0" applyFont="1" applyFill="1" applyBorder="1" applyAlignment="1">
      <alignment vertical="center" wrapText="1"/>
    </xf>
    <xf numFmtId="179" fontId="84" fillId="6" borderId="84" xfId="0" applyNumberFormat="1" applyFont="1" applyFill="1" applyBorder="1" applyAlignment="1">
      <alignment horizontal="center" vertical="center" wrapText="1"/>
    </xf>
    <xf numFmtId="177" fontId="48" fillId="6" borderId="7" xfId="0" applyNumberFormat="1" applyFont="1" applyFill="1" applyBorder="1" applyAlignment="1">
      <alignment horizontal="center" vertical="center" wrapText="1"/>
    </xf>
    <xf numFmtId="181" fontId="84" fillId="6" borderId="7" xfId="0" applyNumberFormat="1" applyFont="1" applyFill="1" applyBorder="1" applyAlignment="1">
      <alignment horizontal="center" vertical="center" wrapText="1"/>
    </xf>
    <xf numFmtId="0" fontId="48" fillId="6" borderId="7" xfId="0" applyFont="1" applyFill="1" applyBorder="1" applyAlignment="1">
      <alignment vertical="center" wrapText="1"/>
    </xf>
    <xf numFmtId="0" fontId="48" fillId="33" borderId="7" xfId="0" applyFont="1" applyFill="1" applyBorder="1" applyAlignment="1">
      <alignment horizontal="center" vertical="center" wrapText="1"/>
    </xf>
    <xf numFmtId="0" fontId="48" fillId="2" borderId="7" xfId="0" applyFont="1" applyBorder="1" applyAlignment="1">
      <alignment vertical="center" wrapText="1"/>
    </xf>
    <xf numFmtId="0" fontId="84" fillId="2" borderId="7" xfId="0" applyFont="1" applyBorder="1" applyAlignment="1">
      <alignment vertical="center" wrapText="1"/>
    </xf>
    <xf numFmtId="179" fontId="84" fillId="8" borderId="7" xfId="0" applyNumberFormat="1" applyFont="1" applyFill="1" applyBorder="1" applyAlignment="1">
      <alignment horizontal="center" vertical="center" wrapText="1"/>
    </xf>
    <xf numFmtId="181" fontId="84" fillId="2" borderId="7" xfId="0" applyNumberFormat="1" applyFont="1" applyBorder="1" applyAlignment="1">
      <alignment horizontal="center" vertical="center" wrapText="1"/>
    </xf>
    <xf numFmtId="177" fontId="48" fillId="2" borderId="7" xfId="0" applyNumberFormat="1" applyFont="1" applyBorder="1" applyAlignment="1">
      <alignment horizontal="center" vertical="center" wrapText="1"/>
    </xf>
    <xf numFmtId="0" fontId="0" fillId="2" borderId="7" xfId="0" applyBorder="1" applyAlignment="1">
      <alignment horizontal="center" vertical="center"/>
    </xf>
    <xf numFmtId="0" fontId="0" fillId="21" borderId="7" xfId="0" applyFill="1" applyBorder="1" applyAlignment="1">
      <alignment horizontal="center" vertical="center" wrapText="1"/>
    </xf>
    <xf numFmtId="0" fontId="17" fillId="22" borderId="7" xfId="0" applyFont="1" applyFill="1" applyBorder="1" applyAlignment="1">
      <alignment horizontal="center" vertical="center" wrapText="1"/>
    </xf>
    <xf numFmtId="0" fontId="17" fillId="21" borderId="7" xfId="0" applyFont="1" applyFill="1" applyBorder="1" applyAlignment="1">
      <alignment horizontal="center" vertical="center" wrapText="1"/>
    </xf>
    <xf numFmtId="178" fontId="17" fillId="22" borderId="7" xfId="0" applyNumberFormat="1" applyFont="1" applyFill="1" applyBorder="1" applyAlignment="1">
      <alignment horizontal="center" vertical="center" wrapText="1"/>
    </xf>
    <xf numFmtId="0" fontId="104" fillId="18" borderId="7" xfId="0" applyFont="1" applyFill="1" applyBorder="1" applyAlignment="1">
      <alignment horizontal="center" vertical="center" wrapText="1"/>
    </xf>
    <xf numFmtId="0" fontId="48" fillId="0" borderId="7" xfId="0" applyFont="1" applyFill="1" applyBorder="1" applyAlignment="1">
      <alignment horizontal="left" vertical="center" wrapText="1"/>
    </xf>
    <xf numFmtId="0" fontId="45" fillId="0" borderId="7" xfId="0" applyFont="1" applyFill="1" applyBorder="1" applyAlignment="1">
      <alignment horizontal="center" vertical="center" wrapText="1"/>
    </xf>
    <xf numFmtId="0" fontId="107" fillId="18" borderId="7" xfId="0" applyFont="1" applyFill="1" applyBorder="1" applyAlignment="1">
      <alignment horizontal="center" vertical="center" wrapText="1"/>
    </xf>
    <xf numFmtId="0" fontId="104" fillId="24" borderId="7" xfId="0" applyFont="1" applyFill="1" applyBorder="1" applyAlignment="1">
      <alignment horizontal="center" vertical="center" wrapText="1"/>
    </xf>
    <xf numFmtId="0" fontId="48" fillId="24" borderId="7" xfId="0" applyFont="1" applyFill="1" applyBorder="1" applyAlignment="1">
      <alignment horizontal="left" vertical="center" wrapText="1"/>
    </xf>
    <xf numFmtId="0" fontId="48" fillId="10" borderId="7" xfId="0" applyFont="1" applyFill="1" applyBorder="1" applyAlignment="1">
      <alignment horizontal="center" vertical="center" wrapText="1"/>
    </xf>
    <xf numFmtId="181" fontId="84" fillId="24" borderId="7" xfId="0" applyNumberFormat="1" applyFont="1" applyFill="1" applyBorder="1" applyAlignment="1">
      <alignment horizontal="center" vertical="center" wrapText="1"/>
    </xf>
    <xf numFmtId="0" fontId="17" fillId="10" borderId="7" xfId="0" applyFont="1" applyFill="1" applyBorder="1" applyAlignment="1">
      <alignment horizontal="center" vertical="center" wrapText="1"/>
    </xf>
    <xf numFmtId="0" fontId="0" fillId="10" borderId="7" xfId="0" applyFill="1" applyBorder="1" applyAlignment="1">
      <alignment horizontal="center" vertical="center" wrapText="1"/>
    </xf>
    <xf numFmtId="0" fontId="104" fillId="14" borderId="7" xfId="0" applyFont="1" applyFill="1" applyBorder="1" applyAlignment="1">
      <alignment horizontal="center" vertical="center" wrapText="1"/>
    </xf>
    <xf numFmtId="0" fontId="48" fillId="25" borderId="7" xfId="0" applyFont="1" applyFill="1" applyBorder="1" applyAlignment="1">
      <alignment horizontal="center" vertical="center" wrapText="1"/>
    </xf>
    <xf numFmtId="0" fontId="104" fillId="14" borderId="7" xfId="0" applyFont="1" applyFill="1" applyBorder="1">
      <alignment vertical="center"/>
    </xf>
    <xf numFmtId="0" fontId="93" fillId="18" borderId="7" xfId="0" applyFont="1" applyFill="1" applyBorder="1" applyAlignment="1">
      <alignment horizontal="center" vertical="center" wrapText="1"/>
    </xf>
    <xf numFmtId="177" fontId="108" fillId="0" borderId="7" xfId="0" applyNumberFormat="1" applyFont="1" applyFill="1" applyBorder="1" applyAlignment="1">
      <alignment horizontal="center" vertical="center" wrapText="1"/>
    </xf>
    <xf numFmtId="181" fontId="108" fillId="0" borderId="7" xfId="0" applyNumberFormat="1" applyFont="1" applyFill="1" applyBorder="1" applyAlignment="1">
      <alignment horizontal="center" vertical="center" wrapText="1"/>
    </xf>
    <xf numFmtId="0" fontId="109" fillId="2" borderId="7" xfId="0" applyFont="1" applyBorder="1">
      <alignment vertical="center"/>
    </xf>
    <xf numFmtId="0" fontId="110" fillId="6" borderId="7" xfId="0" applyFont="1" applyFill="1" applyBorder="1" applyAlignment="1">
      <alignment horizontal="center" vertical="center" wrapText="1"/>
    </xf>
    <xf numFmtId="0" fontId="111" fillId="6" borderId="7" xfId="0" applyFont="1" applyFill="1" applyBorder="1" applyAlignment="1">
      <alignment horizontal="left" vertical="center" wrapText="1"/>
    </xf>
    <xf numFmtId="177" fontId="112" fillId="6" borderId="7" xfId="0" applyNumberFormat="1" applyFont="1" applyFill="1" applyBorder="1" applyAlignment="1">
      <alignment horizontal="center" vertical="center" wrapText="1"/>
    </xf>
    <xf numFmtId="177" fontId="112" fillId="2" borderId="7" xfId="0" applyNumberFormat="1" applyFont="1" applyBorder="1" applyAlignment="1">
      <alignment horizontal="center" vertical="center" wrapText="1"/>
    </xf>
    <xf numFmtId="181" fontId="108" fillId="6" borderId="7" xfId="0" applyNumberFormat="1" applyFont="1" applyFill="1" applyBorder="1" applyAlignment="1">
      <alignment horizontal="center" vertical="center" wrapText="1"/>
    </xf>
    <xf numFmtId="179" fontId="112" fillId="34" borderId="7" xfId="0" applyNumberFormat="1" applyFont="1" applyFill="1" applyBorder="1" applyAlignment="1">
      <alignment horizontal="center" vertical="center" wrapText="1"/>
    </xf>
    <xf numFmtId="179" fontId="112" fillId="35" borderId="7" xfId="0" applyNumberFormat="1" applyFont="1" applyFill="1" applyBorder="1" applyAlignment="1">
      <alignment horizontal="center" vertical="center" wrapText="1"/>
    </xf>
    <xf numFmtId="181" fontId="48" fillId="0" borderId="0" xfId="0" applyNumberFormat="1" applyFont="1" applyFill="1" applyBorder="1" applyAlignment="1">
      <alignment horizontal="center" vertical="center" wrapText="1"/>
    </xf>
    <xf numFmtId="0" fontId="0" fillId="0" borderId="0" xfId="0" applyFill="1" applyBorder="1" applyAlignment="1">
      <alignment horizontal="center" vertical="center"/>
    </xf>
    <xf numFmtId="0" fontId="71" fillId="2" borderId="1" xfId="0" applyFont="1" applyBorder="1">
      <alignment vertical="center"/>
    </xf>
    <xf numFmtId="0" fontId="17" fillId="9" borderId="7" xfId="0" applyFont="1" applyFill="1" applyBorder="1" applyAlignment="1">
      <alignment wrapText="1"/>
    </xf>
    <xf numFmtId="0" fontId="5" fillId="2" borderId="65" xfId="0" applyFont="1" applyBorder="1" applyAlignment="1">
      <alignment horizontal="left" vertical="center"/>
    </xf>
    <xf numFmtId="0" fontId="7" fillId="2" borderId="65" xfId="0" applyFont="1" applyBorder="1" applyAlignment="1">
      <alignment vertical="center" wrapText="1"/>
    </xf>
    <xf numFmtId="0" fontId="5" fillId="2" borderId="65" xfId="0" applyFont="1" applyBorder="1">
      <alignment vertical="center"/>
    </xf>
    <xf numFmtId="0" fontId="5" fillId="2" borderId="6" xfId="0" applyFont="1" applyBorder="1" applyAlignment="1">
      <alignment horizontal="left" vertical="center"/>
    </xf>
    <xf numFmtId="0" fontId="5" fillId="2" borderId="6" xfId="0" applyFont="1" applyBorder="1">
      <alignment vertical="center"/>
    </xf>
    <xf numFmtId="0" fontId="5" fillId="2" borderId="6" xfId="0" applyFont="1" applyBorder="1" applyAlignment="1">
      <alignment vertical="center" wrapText="1"/>
    </xf>
    <xf numFmtId="0" fontId="7" fillId="2" borderId="6" xfId="0" applyFont="1" applyBorder="1">
      <alignment vertical="center"/>
    </xf>
    <xf numFmtId="0" fontId="113" fillId="2" borderId="7" xfId="0" applyFont="1" applyBorder="1">
      <alignment vertical="center"/>
    </xf>
    <xf numFmtId="0" fontId="113" fillId="9" borderId="7" xfId="0" applyFont="1" applyFill="1" applyBorder="1" applyAlignment="1">
      <alignment vertical="center" wrapText="1"/>
    </xf>
    <xf numFmtId="0" fontId="74" fillId="2" borderId="6" xfId="0" applyFont="1" applyBorder="1" applyAlignment="1">
      <alignment horizontal="left" vertical="center"/>
    </xf>
    <xf numFmtId="0" fontId="22" fillId="8" borderId="6" xfId="0" applyFont="1" applyFill="1" applyBorder="1">
      <alignment vertical="center"/>
    </xf>
    <xf numFmtId="0" fontId="22" fillId="9" borderId="6" xfId="0" applyFont="1" applyFill="1" applyBorder="1">
      <alignment vertical="center"/>
    </xf>
    <xf numFmtId="0" fontId="22" fillId="9" borderId="7" xfId="0" applyFont="1" applyFill="1" applyBorder="1">
      <alignment vertical="center"/>
    </xf>
    <xf numFmtId="0" fontId="114" fillId="2" borderId="7" xfId="0" applyFont="1" applyBorder="1" applyAlignment="1">
      <alignment horizontal="left" vertical="center"/>
    </xf>
    <xf numFmtId="0" fontId="47" fillId="0" borderId="7" xfId="0" applyFont="1" applyFill="1" applyBorder="1" applyAlignment="1">
      <alignment vertical="center" wrapText="1"/>
    </xf>
    <xf numFmtId="0" fontId="22" fillId="36" borderId="86" xfId="0" applyFont="1" applyFill="1">
      <alignment vertical="center"/>
    </xf>
    <xf numFmtId="0" fontId="115" fillId="36" borderId="86" xfId="0" applyFont="1" applyFill="1">
      <alignment vertical="center"/>
    </xf>
    <xf numFmtId="0" fontId="5" fillId="36" borderId="2" xfId="0" applyFont="1" applyFill="1" applyBorder="1" applyAlignment="1">
      <alignment horizontal="left" vertical="center"/>
    </xf>
    <xf numFmtId="0" fontId="116" fillId="36" borderId="2" xfId="0" applyFont="1" applyFill="1" applyBorder="1" applyAlignment="1">
      <alignment vertical="center" wrapText="1"/>
    </xf>
    <xf numFmtId="0" fontId="5" fillId="36" borderId="2" xfId="0" applyFont="1" applyFill="1" applyBorder="1" applyAlignment="1">
      <alignment vertical="center" wrapText="1"/>
    </xf>
    <xf numFmtId="0" fontId="22" fillId="36" borderId="2" xfId="0" applyFont="1" applyFill="1" applyBorder="1">
      <alignment vertical="center"/>
    </xf>
    <xf numFmtId="0" fontId="5" fillId="36" borderId="87" xfId="0" applyFont="1" applyFill="1" applyBorder="1" applyAlignment="1">
      <alignment horizontal="left" vertical="center"/>
    </xf>
    <xf numFmtId="0" fontId="117" fillId="36" borderId="2" xfId="0" applyFont="1" applyFill="1" applyBorder="1">
      <alignment vertical="center"/>
    </xf>
    <xf numFmtId="0" fontId="5" fillId="36" borderId="88" xfId="0" applyFont="1" applyFill="1" applyBorder="1" applyAlignment="1">
      <alignment vertical="center" wrapText="1"/>
    </xf>
    <xf numFmtId="0" fontId="22" fillId="36" borderId="2" xfId="0" applyFont="1" applyFill="1" applyBorder="1" applyAlignment="1">
      <alignment vertical="center" wrapText="1"/>
    </xf>
    <xf numFmtId="0" fontId="22" fillId="36" borderId="87" xfId="0" applyFont="1" applyFill="1" applyBorder="1">
      <alignment vertical="center"/>
    </xf>
    <xf numFmtId="0" fontId="22" fillId="36" borderId="88" xfId="0" applyFont="1" applyFill="1" applyBorder="1" applyAlignment="1">
      <alignment vertical="center" wrapText="1"/>
    </xf>
    <xf numFmtId="0" fontId="118" fillId="36" borderId="2" xfId="0" applyFont="1" applyFill="1" applyBorder="1">
      <alignment vertical="center"/>
    </xf>
    <xf numFmtId="0" fontId="119" fillId="36" borderId="2" xfId="0" applyFont="1" applyFill="1" applyBorder="1">
      <alignment vertical="center"/>
    </xf>
    <xf numFmtId="0" fontId="22" fillId="37" borderId="87" xfId="0" applyFont="1" applyFill="1" applyBorder="1">
      <alignment vertical="center"/>
    </xf>
    <xf numFmtId="0" fontId="118" fillId="37" borderId="2" xfId="0" applyFont="1" applyFill="1" applyBorder="1">
      <alignment vertical="center"/>
    </xf>
    <xf numFmtId="0" fontId="50" fillId="37" borderId="88" xfId="0" applyFont="1" applyFill="1" applyBorder="1" applyAlignment="1">
      <alignment vertical="center" wrapText="1"/>
    </xf>
    <xf numFmtId="0" fontId="50" fillId="37" borderId="2" xfId="0" applyFont="1" applyFill="1" applyBorder="1" applyAlignment="1">
      <alignment vertical="center" wrapText="1"/>
    </xf>
    <xf numFmtId="0" fontId="22" fillId="37" borderId="2" xfId="0" applyFont="1" applyFill="1" applyBorder="1" applyAlignment="1">
      <alignment vertical="center" wrapText="1"/>
    </xf>
    <xf numFmtId="0" fontId="22" fillId="37" borderId="2" xfId="0" applyFont="1" applyFill="1" applyBorder="1">
      <alignment vertical="center"/>
    </xf>
    <xf numFmtId="0" fontId="22" fillId="37" borderId="88" xfId="0" applyFont="1" applyFill="1" applyBorder="1" applyAlignment="1">
      <alignment vertical="center" wrapText="1"/>
    </xf>
    <xf numFmtId="0" fontId="115" fillId="2" borderId="86" xfId="0" applyFont="1">
      <alignment vertical="center"/>
    </xf>
    <xf numFmtId="0" fontId="116" fillId="2" borderId="2" xfId="0" applyFont="1" applyBorder="1">
      <alignment vertical="center"/>
    </xf>
    <xf numFmtId="0" fontId="5" fillId="2" borderId="2" xfId="0" applyFont="1" applyBorder="1" applyAlignment="1">
      <alignment vertical="center" wrapText="1"/>
    </xf>
    <xf numFmtId="0" fontId="22" fillId="2" borderId="2" xfId="0" applyFont="1" applyBorder="1">
      <alignment vertical="center"/>
    </xf>
    <xf numFmtId="0" fontId="120" fillId="2" borderId="2" xfId="0" applyFont="1" applyBorder="1" applyAlignment="1">
      <alignment vertical="center" wrapText="1"/>
    </xf>
    <xf numFmtId="0" fontId="22" fillId="2" borderId="2" xfId="0" applyFont="1" applyBorder="1" applyAlignment="1">
      <alignment vertical="center" wrapText="1"/>
    </xf>
    <xf numFmtId="0" fontId="22" fillId="2" borderId="2" xfId="0" applyFont="1" applyBorder="1" applyAlignment="1">
      <alignment horizontal="left" vertical="center"/>
    </xf>
    <xf numFmtId="0" fontId="22" fillId="37" borderId="2" xfId="0" applyFont="1" applyFill="1" applyBorder="1" applyAlignment="1">
      <alignment horizontal="left" vertical="center"/>
    </xf>
    <xf numFmtId="0" fontId="121" fillId="37" borderId="2" xfId="0" applyFont="1" applyFill="1" applyBorder="1" applyAlignment="1">
      <alignment vertical="center" wrapText="1"/>
    </xf>
    <xf numFmtId="0" fontId="120" fillId="37" borderId="2" xfId="0" applyFont="1" applyFill="1" applyBorder="1" applyAlignment="1">
      <alignment vertical="center" wrapText="1"/>
    </xf>
    <xf numFmtId="0" fontId="22" fillId="36" borderId="2" xfId="0" applyFont="1" applyFill="1" applyBorder="1" applyAlignment="1">
      <alignment horizontal="left" vertical="center"/>
    </xf>
    <xf numFmtId="0" fontId="120" fillId="36" borderId="2" xfId="0" applyFont="1" applyFill="1" applyBorder="1" applyAlignment="1">
      <alignment vertical="center" wrapText="1"/>
    </xf>
    <xf numFmtId="0" fontId="120" fillId="37" borderId="65" xfId="0" applyFont="1" applyFill="1" applyBorder="1" applyAlignment="1">
      <alignment vertical="center" wrapText="1"/>
    </xf>
    <xf numFmtId="0" fontId="50" fillId="37" borderId="65" xfId="0" applyFont="1" applyFill="1" applyBorder="1" applyAlignment="1">
      <alignment vertical="center" wrapText="1"/>
    </xf>
    <xf numFmtId="0" fontId="22" fillId="37" borderId="65" xfId="0" applyFont="1" applyFill="1" applyBorder="1">
      <alignment vertical="center"/>
    </xf>
    <xf numFmtId="0" fontId="22" fillId="37" borderId="61" xfId="0" applyFont="1" applyFill="1" applyBorder="1" applyAlignment="1">
      <alignment horizontal="left" vertical="center"/>
    </xf>
    <xf numFmtId="0" fontId="120" fillId="37" borderId="6" xfId="0" applyFont="1" applyFill="1" applyBorder="1" applyAlignment="1">
      <alignment vertical="center" wrapText="1"/>
    </xf>
    <xf numFmtId="0" fontId="50" fillId="37" borderId="6" xfId="0" applyFont="1" applyFill="1" applyBorder="1" applyAlignment="1">
      <alignment vertical="center" wrapText="1"/>
    </xf>
    <xf numFmtId="0" fontId="22" fillId="37" borderId="6" xfId="0" applyFont="1" applyFill="1" applyBorder="1">
      <alignment vertical="center"/>
    </xf>
    <xf numFmtId="0" fontId="22" fillId="2" borderId="61" xfId="0" applyFont="1" applyBorder="1" applyAlignment="1">
      <alignment horizontal="left" vertical="center"/>
    </xf>
    <xf numFmtId="0" fontId="120" fillId="2" borderId="6" xfId="0" applyFont="1" applyBorder="1" applyAlignment="1">
      <alignment vertical="center" wrapText="1"/>
    </xf>
    <xf numFmtId="0" fontId="22" fillId="36" borderId="61" xfId="0" applyFont="1" applyFill="1" applyBorder="1" applyAlignment="1">
      <alignment horizontal="left" vertical="center"/>
    </xf>
    <xf numFmtId="0" fontId="120" fillId="36" borderId="6" xfId="0" applyFont="1" applyFill="1" applyBorder="1" applyAlignment="1">
      <alignment vertical="center" wrapText="1"/>
    </xf>
    <xf numFmtId="0" fontId="22" fillId="36" borderId="6" xfId="0" applyFont="1" applyFill="1" applyBorder="1">
      <alignment vertical="center"/>
    </xf>
    <xf numFmtId="0" fontId="22" fillId="36" borderId="6" xfId="0" applyFont="1" applyFill="1" applyBorder="1" applyAlignment="1">
      <alignment vertical="center" wrapText="1"/>
    </xf>
    <xf numFmtId="0" fontId="122" fillId="38" borderId="6" xfId="0" applyFont="1" applyFill="1" applyBorder="1" applyAlignment="1">
      <alignment vertical="center" wrapText="1"/>
    </xf>
    <xf numFmtId="0" fontId="116" fillId="36" borderId="2" xfId="0" applyFont="1" applyFill="1" applyBorder="1">
      <alignment vertical="center"/>
    </xf>
    <xf numFmtId="0" fontId="5" fillId="36" borderId="2" xfId="0" applyFont="1" applyFill="1" applyBorder="1">
      <alignment vertical="center"/>
    </xf>
    <xf numFmtId="0" fontId="121" fillId="36" borderId="2" xfId="0" applyFont="1" applyFill="1" applyBorder="1">
      <alignment vertical="center"/>
    </xf>
    <xf numFmtId="0" fontId="121" fillId="37" borderId="2" xfId="0" applyFont="1" applyFill="1" applyBorder="1">
      <alignment vertical="center"/>
    </xf>
    <xf numFmtId="0" fontId="50" fillId="37" borderId="2" xfId="0" applyFont="1" applyFill="1" applyBorder="1">
      <alignment vertical="center"/>
    </xf>
    <xf numFmtId="0" fontId="102" fillId="36" borderId="2" xfId="0" applyFont="1" applyFill="1" applyBorder="1">
      <alignment vertical="center"/>
    </xf>
    <xf numFmtId="0" fontId="5" fillId="36" borderId="88" xfId="0" applyFont="1" applyFill="1" applyBorder="1">
      <alignment vertical="center"/>
    </xf>
    <xf numFmtId="0" fontId="22" fillId="36" borderId="88" xfId="0" applyFont="1" applyFill="1" applyBorder="1">
      <alignment vertical="center"/>
    </xf>
    <xf numFmtId="0" fontId="50" fillId="37" borderId="88" xfId="0" applyFont="1" applyFill="1" applyBorder="1" applyAlignment="1">
      <alignment horizontal="center" vertical="center"/>
    </xf>
    <xf numFmtId="0" fontId="50" fillId="37" borderId="88" xfId="0" applyFont="1" applyFill="1" applyBorder="1">
      <alignment vertical="center"/>
    </xf>
    <xf numFmtId="14" fontId="50" fillId="37" borderId="2" xfId="0" applyNumberFormat="1" applyFont="1" applyFill="1" applyBorder="1" applyAlignment="1">
      <alignment vertical="center" wrapText="1"/>
    </xf>
    <xf numFmtId="0" fontId="50" fillId="37" borderId="88" xfId="0" applyFont="1" applyFill="1" applyBorder="1" applyAlignment="1">
      <alignment horizontal="center" vertical="center" wrapText="1"/>
    </xf>
    <xf numFmtId="0" fontId="50" fillId="37" borderId="88" xfId="0" applyFont="1" applyFill="1" applyBorder="1" applyAlignment="1">
      <alignment horizontal="left" vertical="center" wrapText="1"/>
    </xf>
    <xf numFmtId="0" fontId="117" fillId="36" borderId="2" xfId="0" applyFont="1" applyFill="1" applyBorder="1" applyAlignment="1">
      <alignment vertical="center" wrapText="1"/>
    </xf>
    <xf numFmtId="0" fontId="118" fillId="36" borderId="2" xfId="0" applyFont="1" applyFill="1" applyBorder="1" applyAlignment="1">
      <alignment vertical="center" wrapText="1"/>
    </xf>
    <xf numFmtId="0" fontId="118" fillId="37" borderId="2" xfId="0" applyFont="1" applyFill="1" applyBorder="1" applyAlignment="1">
      <alignment vertical="center" wrapText="1"/>
    </xf>
    <xf numFmtId="0" fontId="121" fillId="36" borderId="2" xfId="0" applyFont="1" applyFill="1" applyBorder="1" applyAlignment="1">
      <alignment vertical="center" wrapText="1"/>
    </xf>
    <xf numFmtId="0" fontId="120" fillId="2" borderId="2" xfId="0" applyFont="1" applyBorder="1" applyAlignment="1">
      <alignment horizontal="left" vertical="center" wrapText="1"/>
    </xf>
    <xf numFmtId="0" fontId="120" fillId="37" borderId="2" xfId="0" applyFont="1" applyFill="1" applyBorder="1" applyAlignment="1">
      <alignment horizontal="left" vertical="center" wrapText="1"/>
    </xf>
    <xf numFmtId="0" fontId="121" fillId="37" borderId="2" xfId="0" applyFont="1" applyFill="1" applyBorder="1" applyAlignment="1">
      <alignment horizontal="left" vertical="center" wrapText="1"/>
    </xf>
    <xf numFmtId="0" fontId="50" fillId="8" borderId="89" xfId="0" applyFont="1" applyFill="1" applyBorder="1" applyAlignment="1">
      <alignment vertical="center" wrapText="1"/>
    </xf>
    <xf numFmtId="0" fontId="50" fillId="2" borderId="2" xfId="0" applyFont="1" applyBorder="1">
      <alignment vertical="center"/>
    </xf>
    <xf numFmtId="0" fontId="123" fillId="37" borderId="2" xfId="0" applyFont="1" applyFill="1" applyBorder="1" applyAlignment="1">
      <alignment vertical="center" wrapText="1"/>
    </xf>
    <xf numFmtId="0" fontId="124" fillId="37" borderId="2" xfId="0" applyFont="1" applyFill="1" applyBorder="1" applyAlignment="1">
      <alignment vertical="center" wrapText="1"/>
    </xf>
    <xf numFmtId="0" fontId="123" fillId="37" borderId="90" xfId="0" applyFont="1" applyFill="1" applyBorder="1" applyAlignment="1">
      <alignment vertical="center" wrapText="1"/>
    </xf>
    <xf numFmtId="0" fontId="22" fillId="37" borderId="86" xfId="0" applyFont="1" applyFill="1">
      <alignment vertical="center"/>
    </xf>
    <xf numFmtId="0" fontId="86" fillId="36" borderId="91" xfId="0" applyFont="1" applyFill="1" applyBorder="1">
      <alignment vertical="center"/>
    </xf>
    <xf numFmtId="0" fontId="121" fillId="36" borderId="3" xfId="0" applyFont="1" applyFill="1" applyBorder="1">
      <alignment vertical="center"/>
    </xf>
    <xf numFmtId="0" fontId="86" fillId="36" borderId="92" xfId="0" applyFont="1" applyFill="1" applyBorder="1">
      <alignment vertical="center"/>
    </xf>
    <xf numFmtId="0" fontId="86" fillId="36" borderId="3" xfId="0" applyFont="1" applyFill="1" applyBorder="1" applyAlignment="1">
      <alignment vertical="center" wrapText="1"/>
    </xf>
    <xf numFmtId="0" fontId="86" fillId="36" borderId="3" xfId="0" applyFont="1" applyFill="1" applyBorder="1">
      <alignment vertical="center"/>
    </xf>
    <xf numFmtId="0" fontId="86" fillId="37" borderId="91" xfId="0" applyFont="1" applyFill="1" applyBorder="1">
      <alignment vertical="center"/>
    </xf>
    <xf numFmtId="0" fontId="121" fillId="37" borderId="3" xfId="0" applyFont="1" applyFill="1" applyBorder="1" applyAlignment="1">
      <alignment vertical="center" wrapText="1"/>
    </xf>
    <xf numFmtId="0" fontId="125" fillId="37" borderId="3" xfId="0" applyFont="1" applyFill="1" applyBorder="1" applyAlignment="1">
      <alignment vertical="center" wrapText="1"/>
    </xf>
    <xf numFmtId="0" fontId="126" fillId="37" borderId="3" xfId="0" applyFont="1" applyFill="1" applyBorder="1" applyAlignment="1">
      <alignment vertical="center" wrapText="1"/>
    </xf>
    <xf numFmtId="0" fontId="86" fillId="37" borderId="3" xfId="0" applyFont="1" applyFill="1" applyBorder="1">
      <alignment vertical="center"/>
    </xf>
    <xf numFmtId="0" fontId="22" fillId="36" borderId="61" xfId="0" applyFont="1" applyFill="1" applyBorder="1">
      <alignment vertical="center"/>
    </xf>
    <xf numFmtId="0" fontId="22" fillId="36" borderId="93" xfId="0" applyFont="1" applyFill="1" applyBorder="1">
      <alignment vertical="center"/>
    </xf>
    <xf numFmtId="0" fontId="86" fillId="37" borderId="1" xfId="0" applyFont="1" applyFill="1" applyBorder="1">
      <alignment vertical="center"/>
    </xf>
    <xf numFmtId="0" fontId="22" fillId="37" borderId="61" xfId="0" applyFont="1" applyFill="1" applyBorder="1">
      <alignment vertical="center"/>
    </xf>
    <xf numFmtId="0" fontId="127" fillId="37" borderId="2" xfId="0" applyFont="1" applyFill="1" applyBorder="1" applyAlignment="1">
      <alignment vertical="center" wrapText="1"/>
    </xf>
    <xf numFmtId="0" fontId="117" fillId="2" borderId="2" xfId="0" applyFont="1" applyBorder="1">
      <alignment vertical="center"/>
    </xf>
    <xf numFmtId="0" fontId="118" fillId="2" borderId="2" xfId="0" applyFont="1" applyBorder="1">
      <alignment vertical="center"/>
    </xf>
    <xf numFmtId="0" fontId="102" fillId="39" borderId="6" xfId="0" applyFont="1" applyFill="1" applyBorder="1" applyAlignment="1">
      <alignment vertical="center" wrapText="1"/>
    </xf>
    <xf numFmtId="0" fontId="34" fillId="37" borderId="0" xfId="0" applyFont="1" applyFill="1" applyBorder="1">
      <alignment vertical="center"/>
    </xf>
    <xf numFmtId="0" fontId="95" fillId="36" borderId="2" xfId="0" applyFont="1" applyFill="1" applyBorder="1">
      <alignment vertical="center"/>
    </xf>
    <xf numFmtId="0" fontId="86" fillId="9" borderId="94" xfId="0" applyFont="1" applyFill="1" applyBorder="1">
      <alignment vertical="center"/>
    </xf>
    <xf numFmtId="0" fontId="22" fillId="9" borderId="87" xfId="0" applyFont="1" applyFill="1" applyBorder="1">
      <alignment vertical="center"/>
    </xf>
    <xf numFmtId="0" fontId="118" fillId="9" borderId="2" xfId="0" applyFont="1" applyFill="1" applyBorder="1">
      <alignment vertical="center"/>
    </xf>
    <xf numFmtId="0" fontId="22" fillId="9" borderId="88" xfId="0" applyFont="1" applyFill="1" applyBorder="1" applyAlignment="1">
      <alignment vertical="center" wrapText="1"/>
    </xf>
    <xf numFmtId="0" fontId="22" fillId="9" borderId="2" xfId="0" applyFont="1" applyFill="1" applyBorder="1" applyAlignment="1">
      <alignment vertical="center" wrapText="1"/>
    </xf>
    <xf numFmtId="0" fontId="22" fillId="9" borderId="2" xfId="0" applyFont="1" applyFill="1" applyBorder="1">
      <alignment vertical="center"/>
    </xf>
    <xf numFmtId="0" fontId="0" fillId="0" borderId="5" xfId="0" applyFill="1" applyBorder="1" applyAlignment="1">
      <alignment vertical="center" wrapText="1"/>
    </xf>
    <xf numFmtId="0" fontId="128" fillId="2" borderId="2" xfId="0" applyFont="1" applyBorder="1">
      <alignment vertical="center"/>
    </xf>
    <xf numFmtId="0" fontId="129" fillId="2" borderId="2" xfId="0" applyFont="1" applyBorder="1">
      <alignment vertical="center"/>
    </xf>
    <xf numFmtId="0" fontId="130" fillId="2" borderId="2" xfId="0" applyFont="1" applyBorder="1">
      <alignment vertical="center"/>
    </xf>
    <xf numFmtId="3" fontId="130" fillId="2" borderId="2" xfId="0" applyNumberFormat="1" applyFont="1" applyBorder="1">
      <alignment vertical="center"/>
    </xf>
    <xf numFmtId="9" fontId="130" fillId="2" borderId="2" xfId="0" applyNumberFormat="1" applyFont="1" applyBorder="1">
      <alignment vertical="center"/>
    </xf>
    <xf numFmtId="1" fontId="128" fillId="2" borderId="2" xfId="0" applyNumberFormat="1" applyFont="1" applyBorder="1" applyAlignment="1">
      <alignment vertical="center" wrapText="1"/>
    </xf>
    <xf numFmtId="9" fontId="128" fillId="2" borderId="2" xfId="0" applyNumberFormat="1" applyFont="1" applyBorder="1">
      <alignment vertical="center"/>
    </xf>
    <xf numFmtId="1" fontId="128" fillId="2" borderId="2" xfId="0" applyNumberFormat="1" applyFont="1" applyBorder="1">
      <alignment vertical="center"/>
    </xf>
    <xf numFmtId="0" fontId="43" fillId="2" borderId="95" xfId="0" applyFont="1" applyBorder="1">
      <alignment vertical="center"/>
    </xf>
    <xf numFmtId="0" fontId="43" fillId="2" borderId="40" xfId="0" applyFont="1" applyBorder="1">
      <alignment vertical="center"/>
    </xf>
    <xf numFmtId="0" fontId="43" fillId="2" borderId="96" xfId="0" applyFont="1" applyBorder="1">
      <alignment vertical="center"/>
    </xf>
    <xf numFmtId="0" fontId="0" fillId="0" borderId="97" xfId="0" applyFill="1" applyBorder="1">
      <alignment vertical="center"/>
    </xf>
    <xf numFmtId="0" fontId="16" fillId="23" borderId="7" xfId="0" applyFont="1" applyFill="1" applyBorder="1">
      <alignment vertical="center"/>
    </xf>
    <xf numFmtId="0" fontId="16" fillId="0" borderId="15" xfId="0" applyFont="1" applyFill="1" applyBorder="1">
      <alignment vertical="center"/>
    </xf>
    <xf numFmtId="0" fontId="16" fillId="0" borderId="5" xfId="0" applyFont="1" applyFill="1" applyBorder="1">
      <alignment vertical="center"/>
    </xf>
    <xf numFmtId="0" fontId="16" fillId="0" borderId="5" xfId="0" applyFont="1" applyFill="1" applyBorder="1" applyAlignment="1">
      <alignment vertical="center" wrapText="1"/>
    </xf>
    <xf numFmtId="0" fontId="22" fillId="2" borderId="86" xfId="0" applyFont="1" applyAlignment="1">
      <alignment horizontal="left" vertical="center"/>
    </xf>
    <xf numFmtId="0" fontId="0" fillId="15" borderId="0" xfId="0" applyFill="1" applyBorder="1">
      <alignment vertical="center"/>
    </xf>
    <xf numFmtId="0" fontId="131" fillId="0" borderId="0" xfId="0" applyFont="1" applyFill="1" applyBorder="1">
      <alignment vertical="center"/>
    </xf>
    <xf numFmtId="0" fontId="41" fillId="0" borderId="0" xfId="0" applyFont="1" applyFill="1" applyBorder="1">
      <alignment vertical="center"/>
    </xf>
    <xf numFmtId="0" fontId="62" fillId="0" borderId="0" xfId="0" applyFont="1" applyFill="1" applyBorder="1">
      <alignment vertical="center"/>
    </xf>
    <xf numFmtId="0" fontId="0" fillId="21" borderId="0" xfId="0" applyFill="1" applyBorder="1">
      <alignment vertical="center"/>
    </xf>
    <xf numFmtId="0" fontId="0" fillId="21" borderId="7" xfId="0" applyFill="1" applyBorder="1">
      <alignment vertical="center"/>
    </xf>
    <xf numFmtId="0" fontId="0" fillId="23" borderId="0" xfId="0" applyFill="1" applyBorder="1">
      <alignment vertical="center"/>
    </xf>
    <xf numFmtId="0" fontId="0" fillId="25" borderId="0" xfId="0" applyFill="1" applyBorder="1">
      <alignment vertical="center"/>
    </xf>
    <xf numFmtId="0" fontId="0" fillId="26" borderId="0" xfId="0" applyFill="1" applyBorder="1">
      <alignment vertical="center"/>
    </xf>
    <xf numFmtId="0" fontId="0" fillId="26" borderId="7" xfId="0" applyFill="1" applyBorder="1">
      <alignment vertical="center"/>
    </xf>
    <xf numFmtId="0" fontId="0" fillId="40" borderId="0" xfId="0" applyFill="1" applyBorder="1">
      <alignment vertical="center"/>
    </xf>
    <xf numFmtId="0" fontId="0" fillId="35" borderId="0" xfId="0" applyFill="1" applyBorder="1">
      <alignment vertical="center"/>
    </xf>
    <xf numFmtId="0" fontId="0" fillId="9" borderId="0" xfId="0" applyFill="1" applyBorder="1" applyAlignment="1">
      <alignment horizontal="center" vertical="center" wrapText="1"/>
    </xf>
    <xf numFmtId="177" fontId="0" fillId="9" borderId="0" xfId="0" applyNumberFormat="1" applyFill="1" applyBorder="1" applyAlignment="1">
      <alignment vertical="center" wrapText="1"/>
    </xf>
    <xf numFmtId="177" fontId="0" fillId="0" borderId="0" xfId="0" applyNumberFormat="1" applyFill="1" applyBorder="1" applyAlignment="1">
      <alignment vertical="center" wrapText="1"/>
    </xf>
    <xf numFmtId="177" fontId="0" fillId="0" borderId="0" xfId="0" applyNumberFormat="1" applyFill="1" applyBorder="1" applyAlignment="1">
      <alignment horizontal="center" vertical="center" wrapText="1"/>
    </xf>
    <xf numFmtId="178" fontId="0" fillId="0" borderId="0" xfId="0" applyNumberFormat="1" applyFill="1" applyBorder="1" applyAlignment="1">
      <alignment horizontal="center" vertical="center"/>
    </xf>
    <xf numFmtId="0" fontId="132" fillId="36" borderId="86" xfId="0" applyFont="1" applyFill="1" applyAlignment="1">
      <alignment vertical="center" wrapText="1"/>
    </xf>
    <xf numFmtId="0" fontId="22" fillId="36" borderId="86" xfId="0" applyFont="1" applyFill="1" applyAlignment="1">
      <alignment vertical="center" wrapText="1"/>
    </xf>
    <xf numFmtId="0" fontId="132" fillId="2" borderId="86" xfId="0" applyFont="1">
      <alignment vertical="center"/>
    </xf>
    <xf numFmtId="0" fontId="22" fillId="2" borderId="86" xfId="0" applyFont="1" applyAlignment="1">
      <alignment vertical="center" wrapText="1"/>
    </xf>
    <xf numFmtId="0" fontId="132" fillId="36" borderId="86" xfId="0" applyFont="1" applyFill="1">
      <alignment vertical="center"/>
    </xf>
    <xf numFmtId="0" fontId="86" fillId="37" borderId="94" xfId="0" applyFont="1" applyFill="1" applyBorder="1">
      <alignment vertical="center"/>
    </xf>
    <xf numFmtId="0" fontId="0" fillId="9" borderId="0" xfId="0" applyFill="1" applyBorder="1">
      <alignment vertical="center"/>
    </xf>
    <xf numFmtId="0" fontId="44" fillId="2" borderId="31" xfId="0" applyFont="1" applyFill="1" applyBorder="1">
      <alignment vertical="center"/>
    </xf>
    <xf numFmtId="0" fontId="0" fillId="0" borderId="40" xfId="0" applyBorder="1">
      <alignment vertical="center"/>
    </xf>
    <xf numFmtId="0" fontId="0" fillId="0" borderId="42" xfId="0" applyBorder="1">
      <alignment vertical="center"/>
    </xf>
    <xf numFmtId="0" fontId="44" fillId="2" borderId="44" xfId="0" applyFont="1" applyFill="1" applyBorder="1">
      <alignment vertical="center"/>
    </xf>
    <xf numFmtId="0" fontId="65" fillId="0" borderId="0" xfId="0" applyFont="1" applyAlignment="1">
      <alignment horizontal="center" vertical="center" wrapText="1"/>
    </xf>
    <xf numFmtId="0" fontId="0" fillId="0" borderId="0" xfId="0">
      <alignment vertical="center"/>
    </xf>
    <xf numFmtId="0" fontId="66" fillId="0" borderId="57" xfId="0" applyFont="1" applyBorder="1" applyAlignment="1">
      <alignment vertical="center" wrapText="1"/>
    </xf>
    <xf numFmtId="0" fontId="0" fillId="0" borderId="57" xfId="0" applyBorder="1">
      <alignment vertical="center"/>
    </xf>
    <xf numFmtId="0" fontId="66" fillId="0" borderId="7" xfId="0" applyFont="1" applyBorder="1" applyAlignment="1">
      <alignment horizontal="center" vertical="center" wrapText="1"/>
    </xf>
    <xf numFmtId="0" fontId="0" fillId="0" borderId="7" xfId="0" applyBorder="1">
      <alignment vertical="center"/>
    </xf>
    <xf numFmtId="0" fontId="66" fillId="0" borderId="15" xfId="0" applyFont="1" applyBorder="1" applyAlignment="1">
      <alignment horizontal="center" vertical="center" wrapText="1"/>
    </xf>
    <xf numFmtId="0" fontId="0" fillId="0" borderId="15" xfId="0" applyBorder="1">
      <alignment vertical="center"/>
    </xf>
    <xf numFmtId="0" fontId="66" fillId="0" borderId="15" xfId="0" applyFont="1" applyBorder="1" applyAlignment="1">
      <alignment vertical="center" wrapText="1"/>
    </xf>
    <xf numFmtId="0" fontId="69" fillId="0" borderId="7" xfId="0" applyFont="1" applyBorder="1" applyAlignment="1">
      <alignment vertical="center" wrapText="1"/>
    </xf>
    <xf numFmtId="0" fontId="0" fillId="0" borderId="8" xfId="0" applyBorder="1">
      <alignment vertical="center"/>
    </xf>
    <xf numFmtId="176" fontId="3" fillId="4" borderId="7" xfId="0" applyNumberFormat="1" applyFont="1" applyFill="1" applyBorder="1" applyAlignment="1">
      <alignment horizontal="center" vertical="center"/>
    </xf>
    <xf numFmtId="176" fontId="3" fillId="4" borderId="7" xfId="0" applyNumberFormat="1" applyFont="1" applyFill="1" applyBorder="1" applyAlignment="1">
      <alignment horizontal="center" vertical="center" wrapText="1"/>
    </xf>
    <xf numFmtId="0" fontId="5" fillId="9" borderId="66" xfId="0" applyFont="1" applyFill="1" applyBorder="1">
      <alignment vertical="center"/>
    </xf>
    <xf numFmtId="0" fontId="0" fillId="0" borderId="69" xfId="0" applyBorder="1">
      <alignment vertical="center"/>
    </xf>
    <xf numFmtId="0" fontId="5" fillId="2" borderId="65" xfId="0" applyFont="1" applyFill="1" applyBorder="1" applyAlignment="1">
      <alignment vertical="center" wrapText="1"/>
    </xf>
    <xf numFmtId="0" fontId="0" fillId="0" borderId="68" xfId="0" applyBorder="1">
      <alignment vertical="center"/>
    </xf>
    <xf numFmtId="0" fontId="0" fillId="0" borderId="5" xfId="0" applyBorder="1">
      <alignment vertical="center"/>
    </xf>
    <xf numFmtId="0" fontId="0" fillId="0" borderId="41" xfId="0" applyBorder="1">
      <alignment vertical="center"/>
    </xf>
    <xf numFmtId="176" fontId="3" fillId="4" borderId="8" xfId="0" applyNumberFormat="1" applyFont="1" applyFill="1" applyBorder="1" applyAlignment="1">
      <alignment horizontal="center" vertical="center"/>
    </xf>
    <xf numFmtId="176" fontId="3" fillId="3" borderId="10" xfId="0" applyNumberFormat="1" applyFont="1" applyFill="1" applyBorder="1" applyAlignment="1">
      <alignment horizontal="center" vertical="center"/>
    </xf>
    <xf numFmtId="0" fontId="0" fillId="0" borderId="10" xfId="0" applyBorder="1">
      <alignment vertical="center"/>
    </xf>
    <xf numFmtId="0" fontId="8" fillId="0" borderId="67" xfId="0" applyFont="1" applyBorder="1">
      <alignment vertical="center"/>
    </xf>
    <xf numFmtId="0" fontId="0" fillId="0" borderId="70" xfId="0" applyBorder="1">
      <alignment vertical="center"/>
    </xf>
    <xf numFmtId="0" fontId="5" fillId="2" borderId="61" xfId="0" applyFont="1" applyFill="1" applyBorder="1">
      <alignment vertical="center"/>
    </xf>
    <xf numFmtId="0" fontId="71" fillId="2" borderId="62" xfId="0" applyFont="1" applyFill="1" applyBorder="1">
      <alignment vertical="center"/>
    </xf>
    <xf numFmtId="0" fontId="0" fillId="0" borderId="63" xfId="0" applyBorder="1">
      <alignment vertical="center"/>
    </xf>
    <xf numFmtId="0" fontId="0" fillId="0" borderId="64" xfId="0" applyBorder="1">
      <alignment vertical="center"/>
    </xf>
    <xf numFmtId="0" fontId="72" fillId="2" borderId="66" xfId="0" applyFont="1" applyFill="1" applyBorder="1" applyAlignment="1">
      <alignment horizontal="left" vertical="center"/>
    </xf>
    <xf numFmtId="0" fontId="0" fillId="0" borderId="71" xfId="0" applyBorder="1">
      <alignment vertical="center"/>
    </xf>
    <xf numFmtId="0" fontId="0" fillId="0" borderId="72" xfId="0" applyBorder="1">
      <alignment vertical="center"/>
    </xf>
    <xf numFmtId="0" fontId="76" fillId="8" borderId="45" xfId="0" applyFont="1" applyFill="1" applyBorder="1" applyAlignment="1">
      <alignment horizontal="left" vertical="center"/>
    </xf>
    <xf numFmtId="0" fontId="0" fillId="0" borderId="74" xfId="0" applyBorder="1">
      <alignment vertical="center"/>
    </xf>
    <xf numFmtId="0" fontId="0" fillId="0" borderId="75" xfId="0" applyBorder="1">
      <alignment vertical="center"/>
    </xf>
    <xf numFmtId="0" fontId="76" fillId="8" borderId="77" xfId="0" applyFont="1" applyFill="1" applyBorder="1" applyAlignment="1">
      <alignment horizontal="left" vertical="center"/>
    </xf>
    <xf numFmtId="0" fontId="0" fillId="0" borderId="78" xfId="0" applyBorder="1">
      <alignment vertical="center"/>
    </xf>
    <xf numFmtId="0" fontId="0" fillId="0" borderId="79" xfId="0" applyBorder="1">
      <alignment vertical="center"/>
    </xf>
    <xf numFmtId="0" fontId="88" fillId="2" borderId="81" xfId="0" applyFont="1" applyFill="1" applyBorder="1" applyAlignment="1">
      <alignment horizontal="left" vertical="center"/>
    </xf>
    <xf numFmtId="0" fontId="0" fillId="10" borderId="11" xfId="0" applyFill="1" applyBorder="1">
      <alignment vertical="center"/>
    </xf>
    <xf numFmtId="0" fontId="0" fillId="10" borderId="82" xfId="0" applyFill="1" applyBorder="1">
      <alignment vertical="center"/>
    </xf>
    <xf numFmtId="0" fontId="0" fillId="10" borderId="83" xfId="0" applyFill="1" applyBorder="1">
      <alignment vertical="center"/>
    </xf>
    <xf numFmtId="0" fontId="93" fillId="25" borderId="7" xfId="0" applyFont="1" applyFill="1" applyBorder="1" applyAlignment="1">
      <alignment horizontal="left" vertical="center" wrapText="1"/>
    </xf>
    <xf numFmtId="0" fontId="6" fillId="25" borderId="7" xfId="0" applyFont="1" applyFill="1" applyBorder="1" applyAlignment="1">
      <alignment horizontal="left" vertical="center" wrapText="1"/>
    </xf>
    <xf numFmtId="176" fontId="89" fillId="4" borderId="7" xfId="0" applyNumberFormat="1" applyFont="1" applyFill="1" applyBorder="1" applyAlignment="1">
      <alignment horizontal="center" vertical="center" wrapText="1"/>
    </xf>
    <xf numFmtId="176" fontId="3" fillId="3" borderId="7" xfId="0" applyNumberFormat="1" applyFont="1" applyFill="1" applyBorder="1" applyAlignment="1">
      <alignment horizontal="center" vertical="center" wrapText="1"/>
    </xf>
    <xf numFmtId="176" fontId="3" fillId="3" borderId="7" xfId="0" applyNumberFormat="1" applyFont="1" applyFill="1" applyBorder="1" applyAlignment="1">
      <alignment horizontal="center" vertical="center"/>
    </xf>
    <xf numFmtId="0" fontId="93" fillId="29" borderId="7" xfId="0" applyFont="1" applyFill="1" applyBorder="1" applyAlignment="1">
      <alignment horizontal="left" vertical="center" wrapText="1"/>
    </xf>
    <xf numFmtId="0" fontId="24" fillId="0" borderId="6" xfId="0" applyFont="1" applyBorder="1" applyAlignment="1"/>
    <xf numFmtId="0" fontId="24" fillId="9" borderId="6" xfId="0" applyFont="1" applyFill="1" applyBorder="1" applyAlignment="1"/>
    <xf numFmtId="0" fontId="100" fillId="9" borderId="6" xfId="0" applyFont="1" applyFill="1" applyBorder="1" applyAlignment="1"/>
    <xf numFmtId="0" fontId="93" fillId="20" borderId="7" xfId="0" applyFont="1" applyFill="1" applyBorder="1" applyAlignment="1">
      <alignment horizontal="center" vertical="center" wrapText="1"/>
    </xf>
    <xf numFmtId="0" fontId="92" fillId="20" borderId="7" xfId="0" applyFont="1" applyFill="1" applyBorder="1" applyAlignment="1">
      <alignment horizontal="center" vertical="center" wrapText="1"/>
    </xf>
    <xf numFmtId="0" fontId="31" fillId="30" borderId="7" xfId="0" applyFont="1" applyFill="1" applyBorder="1">
      <alignment vertical="center"/>
    </xf>
    <xf numFmtId="0" fontId="31" fillId="0" borderId="7" xfId="0" applyFont="1" applyBorder="1" applyAlignment="1"/>
    <xf numFmtId="0" fontId="48" fillId="2" borderId="7" xfId="0" applyFont="1" applyFill="1" applyBorder="1" applyAlignment="1">
      <alignment vertical="center" wrapText="1"/>
    </xf>
    <xf numFmtId="0" fontId="6" fillId="26" borderId="7" xfId="0" applyFont="1" applyFill="1" applyBorder="1" applyAlignment="1">
      <alignment horizontal="left" vertical="center" wrapText="1"/>
    </xf>
    <xf numFmtId="0" fontId="48" fillId="2" borderId="7" xfId="0" applyFont="1" applyFill="1" applyBorder="1" applyAlignment="1">
      <alignment horizontal="center" vertical="center" wrapText="1"/>
    </xf>
    <xf numFmtId="0" fontId="84" fillId="2" borderId="7" xfId="0" applyFont="1" applyFill="1" applyBorder="1" applyAlignment="1">
      <alignment vertical="center" wrapText="1"/>
    </xf>
    <xf numFmtId="0" fontId="93" fillId="34" borderId="7" xfId="0" applyFont="1" applyFill="1" applyBorder="1" applyAlignment="1">
      <alignment horizontal="left" vertical="center" wrapText="1"/>
    </xf>
    <xf numFmtId="0" fontId="48" fillId="0" borderId="7" xfId="0" applyFont="1" applyBorder="1" applyAlignment="1">
      <alignment horizontal="center" vertical="center" wrapText="1"/>
    </xf>
    <xf numFmtId="0" fontId="48" fillId="23" borderId="7" xfId="0" applyFont="1" applyFill="1" applyBorder="1" applyAlignment="1">
      <alignment horizontal="center" vertical="center" wrapText="1"/>
    </xf>
    <xf numFmtId="0" fontId="104" fillId="18" borderId="7" xfId="0" applyFont="1" applyFill="1" applyBorder="1" applyAlignment="1">
      <alignment horizontal="center" vertical="center" wrapText="1"/>
    </xf>
    <xf numFmtId="0" fontId="41" fillId="4" borderId="7" xfId="0" applyFont="1" applyFill="1" applyBorder="1" applyAlignment="1">
      <alignment horizontal="center" vertical="center" wrapText="1"/>
    </xf>
    <xf numFmtId="0" fontId="94" fillId="4" borderId="7" xfId="0" applyFont="1" applyFill="1" applyBorder="1" applyAlignment="1">
      <alignment horizontal="center" vertical="center" wrapText="1"/>
    </xf>
    <xf numFmtId="177" fontId="96" fillId="0" borderId="7" xfId="0" applyNumberFormat="1" applyFont="1" applyBorder="1" applyAlignment="1">
      <alignment horizontal="center" vertical="center" wrapText="1"/>
    </xf>
    <xf numFmtId="0" fontId="48" fillId="6" borderId="7" xfId="0" applyFont="1" applyFill="1" applyBorder="1" applyAlignment="1">
      <alignment horizontal="center" vertical="center" wrapText="1"/>
    </xf>
    <xf numFmtId="177" fontId="95" fillId="9" borderId="6" xfId="0" applyNumberFormat="1" applyFont="1" applyFill="1" applyBorder="1" applyAlignment="1">
      <alignment horizontal="center" vertical="center" wrapText="1"/>
    </xf>
    <xf numFmtId="177" fontId="90" fillId="0" borderId="7" xfId="0" applyNumberFormat="1" applyFont="1" applyBorder="1" applyAlignment="1">
      <alignment horizontal="center" vertical="center" wrapText="1"/>
    </xf>
    <xf numFmtId="0" fontId="90" fillId="0" borderId="7" xfId="0" applyFont="1" applyBorder="1" applyAlignment="1">
      <alignment horizontal="center" vertical="center" wrapText="1"/>
    </xf>
    <xf numFmtId="0" fontId="96" fillId="0" borderId="7" xfId="0" applyFont="1" applyBorder="1" applyAlignment="1">
      <alignment horizontal="center" vertical="center" wrapText="1"/>
    </xf>
    <xf numFmtId="0" fontId="62" fillId="4" borderId="7" xfId="0" applyFont="1" applyFill="1" applyBorder="1" applyAlignment="1">
      <alignment horizontal="center" vertical="center" wrapText="1"/>
    </xf>
    <xf numFmtId="0" fontId="97" fillId="4" borderId="7" xfId="0" applyFont="1" applyFill="1" applyBorder="1" applyAlignment="1">
      <alignment horizontal="center" vertical="center" wrapText="1"/>
    </xf>
    <xf numFmtId="0" fontId="0" fillId="10" borderId="7" xfId="0" applyFill="1" applyBorder="1">
      <alignment vertical="center"/>
    </xf>
    <xf numFmtId="0" fontId="17" fillId="10" borderId="7" xfId="0" applyFont="1" applyFill="1" applyBorder="1">
      <alignment vertical="center"/>
    </xf>
    <xf numFmtId="0" fontId="62" fillId="3" borderId="7" xfId="0" applyFont="1" applyFill="1" applyBorder="1" applyAlignment="1">
      <alignment horizontal="center" vertical="center" wrapText="1"/>
    </xf>
    <xf numFmtId="176" fontId="89" fillId="3" borderId="7" xfId="0" applyNumberFormat="1" applyFont="1" applyFill="1" applyBorder="1" applyAlignment="1">
      <alignment horizontal="center" vertical="center" wrapText="1"/>
    </xf>
    <xf numFmtId="177" fontId="91" fillId="19" borderId="6" xfId="0" applyNumberFormat="1" applyFont="1" applyFill="1" applyBorder="1" applyAlignment="1">
      <alignment horizontal="center" vertical="center" wrapText="1"/>
    </xf>
    <xf numFmtId="0" fontId="89" fillId="0" borderId="7" xfId="0" applyFont="1" applyBorder="1" applyAlignment="1">
      <alignment horizontal="left" vertical="center" wrapText="1"/>
    </xf>
    <xf numFmtId="0" fontId="90" fillId="9" borderId="5" xfId="0" applyFont="1" applyFill="1" applyBorder="1" applyAlignment="1">
      <alignment horizontal="center" vertical="center" wrapText="1"/>
    </xf>
    <xf numFmtId="0" fontId="0" fillId="0" borderId="46" xfId="0" applyBorder="1">
      <alignment vertical="center"/>
    </xf>
    <xf numFmtId="0" fontId="90" fillId="18" borderId="5" xfId="0" applyFont="1" applyFill="1" applyBorder="1" applyAlignment="1">
      <alignment horizontal="center" vertical="center" wrapText="1"/>
    </xf>
    <xf numFmtId="0" fontId="103" fillId="2" borderId="27" xfId="0" applyFont="1" applyFill="1" applyBorder="1" applyAlignment="1">
      <alignment vertical="center" wrapText="1"/>
    </xf>
    <xf numFmtId="0" fontId="50" fillId="2" borderId="27" xfId="0" applyFont="1" applyFill="1" applyBorder="1" applyAlignment="1">
      <alignment horizontal="center" vertical="center" wrapText="1"/>
    </xf>
    <xf numFmtId="0" fontId="90" fillId="0" borderId="5" xfId="0" applyFont="1" applyBorder="1" applyAlignment="1">
      <alignment horizontal="center" vertical="center" wrapText="1"/>
    </xf>
    <xf numFmtId="0" fontId="48" fillId="21" borderId="7" xfId="0" applyFont="1" applyFill="1" applyBorder="1" applyAlignment="1">
      <alignment horizontal="center" vertical="center" wrapText="1"/>
    </xf>
    <xf numFmtId="0" fontId="48" fillId="6" borderId="5" xfId="0" applyFont="1" applyFill="1" applyBorder="1" applyAlignment="1">
      <alignment horizontal="center" vertical="center" wrapText="1"/>
    </xf>
    <xf numFmtId="0" fontId="48" fillId="0" borderId="5" xfId="0" applyFont="1" applyBorder="1" applyAlignment="1">
      <alignment horizontal="center" vertical="center" wrapText="1"/>
    </xf>
    <xf numFmtId="177" fontId="99" fillId="9" borderId="27" xfId="0" applyNumberFormat="1" applyFont="1" applyFill="1" applyBorder="1" applyAlignment="1">
      <alignment horizontal="center" vertical="center" wrapText="1"/>
    </xf>
    <xf numFmtId="0" fontId="0" fillId="0" borderId="85" xfId="0" applyBorder="1">
      <alignment vertical="center"/>
    </xf>
    <xf numFmtId="0" fontId="0" fillId="0" borderId="5" xfId="0" applyBorder="1" applyAlignment="1">
      <alignment vertical="center" wrapText="1"/>
    </xf>
    <xf numFmtId="0" fontId="156" fillId="6" borderId="15"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呼噜胖 🍺" id="{DE67F8C5-04A3-4147-A57B-71211992AF72}" userId="" providerI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 dT="2026-05-03T00:24:54.00" personId="{DE67F8C5-04A3-4147-A57B-71211992AF72}" id="{085543DA-5F45-4074-BA4A-22364017AB9D}">
    <text>基础能力组件可加日志中心，提供标准的日志查询与分析能力</text>
  </threadedComment>
  <threadedComment ref="F3" dT="2026-05-03T00:44:43.00" personId="{DE67F8C5-04A3-4147-A57B-71211992AF72}" id="{E9E7FAA3-0387-4D1D-AC7D-2B3107F49F62}">
    <text>建议将AI纳入技术支撑体系，提高研发二线问题排查效率。验收标准：1. 过程指标AI 采纳率 (Adoption Rate)： 二线排查过程中，研发人员采纳 AI 提供的排查建议的比例需 50%。知识库自动转化率： 每次故障关闭后，由 AI 自动提取并生成的 FAQ 知识条目占比 80%。2. 结果指标MTTR (平均修复时间)： 引入 AI 后，二线排查的平均耗时需降低 20%。二线回退率： 因分析不准导致问题重复开启或回退到一线的比例降低 15%。</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kdocs.cn/l/cvawOXuxL52U" TargetMode="External"/><Relationship Id="rId13" Type="http://schemas.openxmlformats.org/officeDocument/2006/relationships/hyperlink" Target="https://365.kdocs.cn/l/crzu7yMwwKRr" TargetMode="External"/><Relationship Id="rId3" Type="http://schemas.openxmlformats.org/officeDocument/2006/relationships/hyperlink" Target="https://www.kdocs.cn/l/cfSk6Ag3H7UB" TargetMode="External"/><Relationship Id="rId7" Type="http://schemas.openxmlformats.org/officeDocument/2006/relationships/hyperlink" Target="https://www.kdocs.cn/l/cpxFS4LNsc2m" TargetMode="External"/><Relationship Id="rId12" Type="http://schemas.openxmlformats.org/officeDocument/2006/relationships/hyperlink" Target="https://365.kdocs.cn/l/crzu7yMwwKRr" TargetMode="External"/><Relationship Id="rId17" Type="http://schemas.openxmlformats.org/officeDocument/2006/relationships/hyperlink" Target="https://365.kdocs.cn/l/cds4eAtP4FPr" TargetMode="External"/><Relationship Id="rId2" Type="http://schemas.openxmlformats.org/officeDocument/2006/relationships/hyperlink" Target="https://www.kdocs.cn/l/cfeoqdx0gRvw" TargetMode="External"/><Relationship Id="rId16" Type="http://schemas.openxmlformats.org/officeDocument/2006/relationships/hyperlink" Target="https://365.kdocs.cn/l/cbxrNs5oiLh7" TargetMode="External"/><Relationship Id="rId1" Type="http://schemas.openxmlformats.org/officeDocument/2006/relationships/hyperlink" Target="https://www.kdocs.cn/l/cpxI3ulO7ICo" TargetMode="External"/><Relationship Id="rId6" Type="http://schemas.openxmlformats.org/officeDocument/2006/relationships/hyperlink" Target="https://modao.cc/proto/64pLckystiss8u5MjMtu4/sharing?view_mode=read_only&amp;screen=rbpUvVg3Y7IgEaUAg" TargetMode="External"/><Relationship Id="rId11" Type="http://schemas.openxmlformats.org/officeDocument/2006/relationships/hyperlink" Target="https://365.kdocs.cn/l/crzu7yMwwKRr" TargetMode="External"/><Relationship Id="rId5" Type="http://schemas.openxmlformats.org/officeDocument/2006/relationships/hyperlink" Target="https://365.kdocs.cn/l/cpoCsR2Yenmk" TargetMode="External"/><Relationship Id="rId15" Type="http://schemas.openxmlformats.org/officeDocument/2006/relationships/hyperlink" Target="https://zlkr.lgjxm.com/" TargetMode="External"/><Relationship Id="rId10" Type="http://schemas.openxmlformats.org/officeDocument/2006/relationships/hyperlink" Target="https://365.kdocs.cn/l/cjBjo7MkjkY4" TargetMode="External"/><Relationship Id="rId4" Type="http://schemas.openxmlformats.org/officeDocument/2006/relationships/hyperlink" Target="https://365.kdocs.cn/l/csYkqpojJhVg" TargetMode="External"/><Relationship Id="rId9" Type="http://schemas.openxmlformats.org/officeDocument/2006/relationships/hyperlink" Target="https://www.kdocs.cn/l/cvawOXuxL52U" TargetMode="External"/><Relationship Id="rId14" Type="http://schemas.openxmlformats.org/officeDocument/2006/relationships/hyperlink" Target="https://365.kdocs.cn/l/cjPdadULWq0Y"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hyperlink" Target="https://365.kdocs.cn/l/ckX2rVqm5DSx" TargetMode="External"/><Relationship Id="rId2" Type="http://schemas.openxmlformats.org/officeDocument/2006/relationships/hyperlink" Target="https://365.kdocs.cn/l/cjIbgBprYcce" TargetMode="External"/><Relationship Id="rId1" Type="http://schemas.openxmlformats.org/officeDocument/2006/relationships/hyperlink" Target="https://365.kdocs.cn/l/ceZoAnINLB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业务目标（陶淇晟）"/>
  <dimension ref="A1:BD127"/>
  <sheetViews>
    <sheetView tabSelected="1" workbookViewId="0">
      <pane xSplit="7" ySplit="2" topLeftCell="T3" activePane="bottomRight" state="frozen"/>
      <selection pane="topRight"/>
      <selection pane="bottomLeft"/>
      <selection pane="bottomRight" activeCell="X9" sqref="X9"/>
    </sheetView>
  </sheetViews>
  <sheetFormatPr defaultRowHeight="14.25"/>
  <cols>
    <col min="1" max="1" width="7" style="773" customWidth="1"/>
    <col min="2" max="2" width="13.625" customWidth="1"/>
    <col min="3" max="3" width="14.875" customWidth="1"/>
    <col min="4" max="4" width="15.75" style="337" customWidth="1"/>
    <col min="5" max="5" width="23.75" customWidth="1"/>
    <col min="6" max="6" width="40.875" customWidth="1"/>
    <col min="7" max="7" width="7.75" customWidth="1"/>
    <col min="8" max="9" width="16.375" customWidth="1"/>
    <col min="10" max="10" width="11" customWidth="1"/>
    <col min="11" max="11" width="40" customWidth="1"/>
    <col min="12" max="12" width="38" customWidth="1"/>
    <col min="13" max="13" width="14.375" customWidth="1"/>
    <col min="14" max="15" width="26.625" customWidth="1"/>
    <col min="16" max="16" width="36.875" customWidth="1"/>
    <col min="17" max="17" width="13.875" customWidth="1"/>
    <col min="18" max="19" width="30.375" customWidth="1"/>
    <col min="20" max="20" width="40.875" customWidth="1"/>
    <col min="21" max="21" width="8.875" customWidth="1"/>
    <col min="22" max="22" width="13.5" style="337" customWidth="1"/>
    <col min="23" max="23" width="29.75" customWidth="1"/>
    <col min="24" max="24" width="45" customWidth="1"/>
    <col min="25" max="25" width="16.625" customWidth="1"/>
    <col min="26" max="26" width="20.625" customWidth="1"/>
    <col min="27" max="27" width="34.375" customWidth="1"/>
    <col min="28" max="28" width="32" customWidth="1"/>
    <col min="29" max="29" width="16.875" customWidth="1"/>
    <col min="30" max="30" width="21.625" customWidth="1"/>
    <col min="31" max="31" width="30.5" customWidth="1"/>
    <col min="32" max="32" width="28" style="337" customWidth="1"/>
    <col min="33" max="33" width="31.625" customWidth="1"/>
    <col min="34" max="35" width="9.25" customWidth="1"/>
    <col min="36" max="36" width="29.375" customWidth="1"/>
    <col min="37" max="37" width="29.625" customWidth="1"/>
    <col min="38" max="38" width="16.875" customWidth="1"/>
    <col min="39" max="39" width="32.75" customWidth="1"/>
    <col min="40" max="40" width="31.625" customWidth="1"/>
    <col min="41" max="41" width="45.625" customWidth="1"/>
    <col min="42" max="42" width="16.875" customWidth="1"/>
    <col min="43" max="43" width="11.875" customWidth="1"/>
    <col min="44" max="44" width="39.875" customWidth="1"/>
    <col min="45" max="45" width="35.625" customWidth="1"/>
    <col min="46" max="47" width="10.25" customWidth="1"/>
    <col min="48" max="48" width="33.25" customWidth="1"/>
    <col min="49" max="49" width="48.25" customWidth="1"/>
    <col min="50" max="50" width="16.875" customWidth="1"/>
    <col min="51" max="51" width="50.375" customWidth="1"/>
    <col min="52" max="52" width="49.875" customWidth="1"/>
    <col min="53" max="53" width="16.875" customWidth="1"/>
    <col min="54" max="54" width="38.375" customWidth="1"/>
    <col min="55" max="56" width="16.875" customWidth="1"/>
  </cols>
  <sheetData>
    <row r="1" spans="1:56" ht="53.25" customHeight="1">
      <c r="A1" s="1"/>
      <c r="B1" s="1"/>
      <c r="C1" s="1"/>
      <c r="D1" s="1"/>
      <c r="E1" s="1"/>
      <c r="F1" s="1"/>
      <c r="G1" s="1"/>
      <c r="H1" s="2"/>
      <c r="I1" s="2"/>
      <c r="J1" s="2"/>
      <c r="K1" s="3"/>
      <c r="L1" s="3"/>
      <c r="M1" s="3"/>
      <c r="N1" s="3"/>
      <c r="O1" s="3"/>
      <c r="P1" s="3"/>
      <c r="Q1" s="3"/>
      <c r="R1" s="3"/>
      <c r="S1" s="3"/>
      <c r="T1" s="3"/>
      <c r="U1" s="3"/>
      <c r="V1" s="4"/>
      <c r="W1" s="3"/>
      <c r="X1" s="3"/>
      <c r="Y1" s="3"/>
      <c r="Z1" s="3"/>
      <c r="AA1" s="3"/>
      <c r="AB1" s="3"/>
      <c r="AC1" s="3"/>
      <c r="AD1" s="3"/>
      <c r="AE1" s="3"/>
      <c r="AF1" s="5"/>
      <c r="AG1" s="5"/>
      <c r="AH1" s="5"/>
      <c r="AI1" s="5"/>
      <c r="AJ1" s="3"/>
      <c r="AK1" s="3"/>
      <c r="AL1" s="3"/>
      <c r="AM1" s="3"/>
      <c r="AN1" s="3"/>
      <c r="AO1" s="3"/>
      <c r="AP1" s="3"/>
      <c r="AQ1" s="3"/>
      <c r="AR1" s="3"/>
      <c r="AS1" s="3"/>
      <c r="AT1" s="3"/>
      <c r="AU1" s="3"/>
      <c r="AV1" s="3"/>
      <c r="AW1" s="3"/>
      <c r="AX1" s="3"/>
      <c r="AY1" s="3"/>
      <c r="AZ1" s="3"/>
      <c r="BA1" s="3"/>
      <c r="BB1" s="3"/>
      <c r="BC1" s="3"/>
      <c r="BD1" s="3"/>
    </row>
    <row r="2" spans="1:56" ht="65.25" customHeight="1">
      <c r="A2" s="6" t="s">
        <v>0</v>
      </c>
      <c r="B2" s="7" t="s">
        <v>1</v>
      </c>
      <c r="C2" s="8" t="s">
        <v>1577</v>
      </c>
      <c r="D2" s="9" t="s">
        <v>2</v>
      </c>
      <c r="E2" s="10" t="s">
        <v>3</v>
      </c>
      <c r="F2" s="9" t="s">
        <v>4</v>
      </c>
      <c r="G2" s="10" t="s">
        <v>5</v>
      </c>
      <c r="H2" s="11" t="s">
        <v>6</v>
      </c>
      <c r="I2" s="12" t="s">
        <v>7</v>
      </c>
      <c r="J2" s="12" t="s">
        <v>8</v>
      </c>
      <c r="K2" s="13" t="s">
        <v>9</v>
      </c>
      <c r="L2" s="13" t="s">
        <v>10</v>
      </c>
      <c r="M2" s="13" t="s">
        <v>11</v>
      </c>
      <c r="N2" s="13" t="s">
        <v>12</v>
      </c>
      <c r="O2" s="13" t="s">
        <v>13</v>
      </c>
      <c r="P2" s="13" t="s">
        <v>14</v>
      </c>
      <c r="Q2" s="13" t="s">
        <v>15</v>
      </c>
      <c r="R2" s="13" t="s">
        <v>16</v>
      </c>
      <c r="S2" s="13" t="s">
        <v>17</v>
      </c>
      <c r="T2" s="13" t="s">
        <v>18</v>
      </c>
      <c r="U2" s="14" t="s">
        <v>19</v>
      </c>
      <c r="V2" s="14" t="s">
        <v>20</v>
      </c>
      <c r="W2" s="13" t="s">
        <v>21</v>
      </c>
      <c r="X2" s="13" t="s">
        <v>22</v>
      </c>
      <c r="Y2" s="13" t="s">
        <v>23</v>
      </c>
      <c r="Z2" s="13" t="s">
        <v>24</v>
      </c>
      <c r="AA2" s="13" t="s">
        <v>25</v>
      </c>
      <c r="AB2" s="13" t="s">
        <v>26</v>
      </c>
      <c r="AC2" s="13" t="s">
        <v>27</v>
      </c>
      <c r="AD2" s="13" t="s">
        <v>28</v>
      </c>
      <c r="AE2" s="13"/>
      <c r="AF2" s="14"/>
      <c r="AG2" s="13"/>
      <c r="AH2" s="13"/>
      <c r="AI2" s="13"/>
      <c r="AJ2" s="13"/>
      <c r="AK2" s="13"/>
      <c r="AL2" s="13"/>
      <c r="AM2" s="13"/>
      <c r="AN2" s="13"/>
      <c r="AO2" s="13"/>
      <c r="AP2" s="13"/>
      <c r="AQ2" s="13"/>
      <c r="AR2" s="13"/>
      <c r="AS2" s="13"/>
      <c r="AT2" s="13"/>
      <c r="AU2" s="13"/>
      <c r="AV2" s="13"/>
      <c r="AW2" s="13"/>
      <c r="AX2" s="13"/>
      <c r="AY2" s="13"/>
      <c r="AZ2" s="13"/>
      <c r="BA2" s="13"/>
      <c r="BB2" s="13"/>
      <c r="BC2" s="13"/>
      <c r="BD2" s="13"/>
    </row>
    <row r="3" spans="1:56" s="311" customFormat="1" ht="28.5">
      <c r="A3" s="15">
        <v>1</v>
      </c>
      <c r="B3" s="16" t="s">
        <v>29</v>
      </c>
      <c r="C3" s="17"/>
      <c r="D3" s="18" t="s">
        <v>30</v>
      </c>
      <c r="E3" s="19" t="s">
        <v>31</v>
      </c>
      <c r="F3" s="19"/>
      <c r="G3" s="20" t="s">
        <v>32</v>
      </c>
      <c r="H3" s="21" t="s">
        <v>33</v>
      </c>
      <c r="I3" s="22" t="s">
        <v>34</v>
      </c>
      <c r="J3" s="23"/>
      <c r="K3" s="24"/>
      <c r="L3" s="24"/>
      <c r="M3" s="25"/>
      <c r="N3" s="24"/>
      <c r="O3" s="24"/>
      <c r="P3" s="24"/>
      <c r="Q3" s="25"/>
      <c r="R3" s="25"/>
      <c r="S3" s="25" t="s">
        <v>35</v>
      </c>
      <c r="T3" s="26" t="s">
        <v>1578</v>
      </c>
      <c r="U3" s="25"/>
      <c r="V3" s="24"/>
      <c r="W3" s="24" t="s">
        <v>36</v>
      </c>
      <c r="X3" s="24"/>
      <c r="Y3" s="25"/>
      <c r="Z3" s="27"/>
      <c r="AA3" s="24"/>
      <c r="AB3" s="24"/>
      <c r="AC3" s="25"/>
      <c r="AD3" s="24"/>
      <c r="AE3" s="28"/>
      <c r="AF3" s="24"/>
      <c r="AG3" s="24"/>
      <c r="AH3" s="25"/>
      <c r="AI3" s="28"/>
      <c r="AJ3" s="24"/>
      <c r="AK3" s="24"/>
      <c r="AL3" s="25"/>
      <c r="AM3" s="24"/>
      <c r="AN3" s="29"/>
      <c r="AO3" s="24"/>
      <c r="AP3" s="24"/>
      <c r="AQ3" s="25"/>
      <c r="AR3" s="24"/>
      <c r="AS3" s="24"/>
      <c r="AT3" s="28"/>
      <c r="AU3" s="25"/>
      <c r="AV3" s="24"/>
      <c r="AW3" s="24"/>
      <c r="AX3" s="25"/>
      <c r="AY3" s="24"/>
      <c r="AZ3" s="24"/>
      <c r="BA3" s="25"/>
      <c r="BB3" s="24"/>
      <c r="BC3" s="28"/>
      <c r="BD3" s="28"/>
    </row>
    <row r="4" spans="1:56" s="137" customFormat="1" ht="128.25">
      <c r="A4" s="30">
        <v>2</v>
      </c>
      <c r="B4" s="31" t="s">
        <v>29</v>
      </c>
      <c r="C4" s="32"/>
      <c r="D4" s="33" t="s">
        <v>37</v>
      </c>
      <c r="E4" s="34"/>
      <c r="F4" s="34" t="s">
        <v>1579</v>
      </c>
      <c r="G4" s="35" t="s">
        <v>32</v>
      </c>
      <c r="H4" s="21" t="s">
        <v>33</v>
      </c>
      <c r="I4" s="36" t="s">
        <v>34</v>
      </c>
      <c r="J4" s="37"/>
      <c r="K4" s="38" t="s">
        <v>1580</v>
      </c>
      <c r="L4" s="39" t="s">
        <v>38</v>
      </c>
      <c r="M4" s="40"/>
      <c r="N4" s="39"/>
      <c r="O4" s="39" t="s">
        <v>39</v>
      </c>
      <c r="P4" s="40" t="s">
        <v>38</v>
      </c>
      <c r="Q4" s="40"/>
      <c r="R4" s="40"/>
      <c r="S4" s="40" t="s">
        <v>40</v>
      </c>
      <c r="T4" s="39" t="s">
        <v>38</v>
      </c>
      <c r="U4" s="40"/>
      <c r="V4" s="39"/>
      <c r="W4" s="40" t="s">
        <v>41</v>
      </c>
      <c r="X4" s="39" t="s">
        <v>1799</v>
      </c>
      <c r="Y4" s="40"/>
      <c r="Z4" s="39"/>
      <c r="AA4" s="40"/>
      <c r="AB4" s="39"/>
      <c r="AC4" s="40"/>
      <c r="AD4" s="40"/>
      <c r="AE4" s="40"/>
      <c r="AF4" s="39"/>
      <c r="AG4" s="39"/>
      <c r="AH4" s="40"/>
      <c r="AI4" s="40"/>
      <c r="AJ4" s="39"/>
      <c r="AK4" s="39"/>
      <c r="AL4" s="40"/>
      <c r="AM4" s="39"/>
      <c r="AN4" s="41"/>
      <c r="AO4" s="42"/>
      <c r="AP4" s="43"/>
      <c r="AQ4" s="42"/>
      <c r="AR4" s="42"/>
      <c r="AS4" s="42"/>
      <c r="AT4" s="44"/>
      <c r="AU4" s="42"/>
      <c r="AV4" s="42"/>
      <c r="AW4" s="42"/>
      <c r="AX4" s="42"/>
      <c r="AY4" s="42"/>
      <c r="AZ4" s="42"/>
      <c r="BA4" s="42"/>
      <c r="BB4" s="42"/>
      <c r="BC4" s="44"/>
      <c r="BD4" s="44"/>
    </row>
    <row r="5" spans="1:56" s="137" customFormat="1" ht="57">
      <c r="A5" s="45">
        <v>3</v>
      </c>
      <c r="B5" s="46" t="s">
        <v>29</v>
      </c>
      <c r="C5" s="47"/>
      <c r="D5" s="48" t="s">
        <v>42</v>
      </c>
      <c r="E5" s="49"/>
      <c r="F5" s="50" t="s">
        <v>1581</v>
      </c>
      <c r="G5" s="51" t="s">
        <v>32</v>
      </c>
      <c r="H5" s="21" t="s">
        <v>33</v>
      </c>
      <c r="I5" s="36" t="s">
        <v>34</v>
      </c>
      <c r="J5" s="36"/>
      <c r="K5" s="43" t="s">
        <v>43</v>
      </c>
      <c r="L5" s="43" t="s">
        <v>38</v>
      </c>
      <c r="M5" s="42"/>
      <c r="N5" s="43"/>
      <c r="O5" s="43"/>
      <c r="P5" s="43"/>
      <c r="Q5" s="42"/>
      <c r="R5" s="43"/>
      <c r="S5" s="43"/>
      <c r="T5" s="43"/>
      <c r="U5" s="42"/>
      <c r="V5" s="43"/>
      <c r="W5" s="43"/>
      <c r="X5" s="52" t="s">
        <v>1800</v>
      </c>
      <c r="Y5" s="42"/>
      <c r="Z5" s="42"/>
      <c r="AA5" s="43"/>
      <c r="AB5" s="43"/>
      <c r="AC5" s="42"/>
      <c r="AD5" s="42"/>
      <c r="AE5" s="42"/>
      <c r="AF5" s="43"/>
      <c r="AG5" s="43"/>
      <c r="AH5" s="42"/>
      <c r="AI5" s="42"/>
      <c r="AJ5" s="43"/>
      <c r="AK5" s="43"/>
      <c r="AL5" s="42"/>
      <c r="AM5" s="42"/>
      <c r="AN5" s="42"/>
      <c r="AO5" s="42"/>
      <c r="AP5" s="44"/>
      <c r="AQ5" s="42"/>
      <c r="AR5" s="42"/>
      <c r="AS5" s="42"/>
      <c r="AT5" s="44"/>
      <c r="AU5" s="42"/>
      <c r="AV5" s="42"/>
      <c r="AW5" s="42"/>
      <c r="AX5" s="42"/>
      <c r="AY5" s="42"/>
      <c r="AZ5" s="42"/>
      <c r="BA5" s="42"/>
      <c r="BB5" s="42"/>
      <c r="BC5" s="44"/>
      <c r="BD5" s="44"/>
    </row>
    <row r="6" spans="1:56" s="137" customFormat="1" ht="81" customHeight="1">
      <c r="A6" s="15">
        <v>4</v>
      </c>
      <c r="B6" s="31" t="s">
        <v>29</v>
      </c>
      <c r="C6" s="53"/>
      <c r="D6" s="54" t="s">
        <v>44</v>
      </c>
      <c r="E6" s="33"/>
      <c r="F6" s="55" t="s">
        <v>1582</v>
      </c>
      <c r="G6" s="35" t="s">
        <v>32</v>
      </c>
      <c r="H6" s="21" t="s">
        <v>33</v>
      </c>
      <c r="I6" s="56" t="s">
        <v>34</v>
      </c>
      <c r="J6" s="57"/>
      <c r="K6" s="58" t="s">
        <v>45</v>
      </c>
      <c r="L6" s="59" t="s">
        <v>38</v>
      </c>
      <c r="M6" s="59"/>
      <c r="N6" s="58"/>
      <c r="O6" s="58" t="s">
        <v>46</v>
      </c>
      <c r="P6" s="58" t="s">
        <v>38</v>
      </c>
      <c r="Q6" s="58"/>
      <c r="R6" s="58"/>
      <c r="S6" s="58" t="s">
        <v>47</v>
      </c>
      <c r="T6" s="60" t="s">
        <v>38</v>
      </c>
      <c r="U6" s="58"/>
      <c r="V6" s="58"/>
      <c r="W6" s="58" t="s">
        <v>48</v>
      </c>
      <c r="X6" s="892" t="s">
        <v>1800</v>
      </c>
      <c r="Y6" s="59"/>
      <c r="Z6" s="61"/>
      <c r="AA6" s="58"/>
      <c r="AB6" s="60"/>
      <c r="AC6" s="59"/>
      <c r="AD6" s="58"/>
      <c r="AE6" s="59"/>
      <c r="AF6" s="58"/>
      <c r="AG6" s="60"/>
      <c r="AH6" s="59"/>
      <c r="AI6" s="59"/>
      <c r="AJ6" s="58"/>
      <c r="AK6" s="60"/>
      <c r="AL6" s="59"/>
      <c r="AM6" s="58"/>
      <c r="AN6" s="62"/>
      <c r="AO6" s="63"/>
      <c r="AP6" s="44"/>
      <c r="AQ6" s="42"/>
      <c r="AR6" s="43"/>
      <c r="AS6" s="63"/>
      <c r="AT6" s="44"/>
      <c r="AU6" s="42"/>
      <c r="AV6" s="43"/>
      <c r="AW6" s="63"/>
      <c r="AX6" s="44"/>
      <c r="AY6" s="43"/>
      <c r="AZ6" s="63"/>
      <c r="BA6" s="42"/>
      <c r="BB6" s="43"/>
      <c r="BC6" s="44"/>
      <c r="BD6" s="44"/>
    </row>
    <row r="7" spans="1:56" s="320" customFormat="1" ht="51.75" customHeight="1">
      <c r="A7" s="64">
        <v>5</v>
      </c>
      <c r="B7" s="65" t="s">
        <v>29</v>
      </c>
      <c r="C7" s="66"/>
      <c r="D7" s="67" t="s">
        <v>49</v>
      </c>
      <c r="E7" s="66"/>
      <c r="F7" s="68" t="s">
        <v>1583</v>
      </c>
      <c r="G7" s="69" t="s">
        <v>32</v>
      </c>
      <c r="H7" s="21" t="s">
        <v>33</v>
      </c>
      <c r="I7" s="70" t="s">
        <v>34</v>
      </c>
      <c r="J7" s="71"/>
      <c r="K7" s="44" t="s">
        <v>50</v>
      </c>
      <c r="L7" s="42" t="s">
        <v>38</v>
      </c>
      <c r="M7" s="44"/>
      <c r="N7" s="72"/>
      <c r="O7" s="73" t="s">
        <v>51</v>
      </c>
      <c r="P7" s="44" t="s">
        <v>38</v>
      </c>
      <c r="Q7" s="44"/>
      <c r="R7" s="74"/>
      <c r="S7" s="74" t="s">
        <v>52</v>
      </c>
      <c r="T7" s="44" t="s">
        <v>53</v>
      </c>
      <c r="U7" s="44"/>
      <c r="V7" s="43"/>
      <c r="W7" s="74" t="s">
        <v>54</v>
      </c>
      <c r="X7" s="44" t="s">
        <v>1799</v>
      </c>
      <c r="Y7" s="44"/>
      <c r="Z7" s="74"/>
      <c r="AA7" s="74"/>
      <c r="AB7" s="74"/>
      <c r="AC7" s="44"/>
      <c r="AD7" s="44"/>
      <c r="AE7" s="44"/>
      <c r="AF7" s="74"/>
      <c r="AG7" s="74"/>
      <c r="AH7" s="44"/>
      <c r="AI7" s="44"/>
      <c r="AJ7" s="74"/>
      <c r="AK7" s="75"/>
      <c r="AL7" s="44"/>
      <c r="AM7" s="74"/>
      <c r="AN7" s="74"/>
      <c r="AO7" s="75"/>
      <c r="AP7" s="44"/>
      <c r="AQ7" s="44"/>
      <c r="AR7" s="74"/>
      <c r="AS7" s="75"/>
      <c r="AT7" s="44"/>
      <c r="AU7" s="44"/>
      <c r="AV7" s="74"/>
      <c r="AW7" s="75"/>
      <c r="AX7" s="44"/>
      <c r="AY7" s="74"/>
      <c r="AZ7" s="43"/>
      <c r="BA7" s="44"/>
      <c r="BB7" s="43"/>
      <c r="BC7" s="44"/>
      <c r="BD7" s="44"/>
    </row>
    <row r="8" spans="1:56" s="320" customFormat="1" ht="69.75" customHeight="1">
      <c r="A8" s="76">
        <v>6</v>
      </c>
      <c r="B8" s="31" t="s">
        <v>29</v>
      </c>
      <c r="C8" s="66"/>
      <c r="D8" s="67" t="s">
        <v>55</v>
      </c>
      <c r="E8" s="66"/>
      <c r="F8" s="68" t="s">
        <v>1584</v>
      </c>
      <c r="G8" s="69" t="s">
        <v>32</v>
      </c>
      <c r="H8" s="21" t="s">
        <v>33</v>
      </c>
      <c r="I8" s="77" t="s">
        <v>56</v>
      </c>
      <c r="J8" s="71"/>
      <c r="K8" s="44" t="s">
        <v>57</v>
      </c>
      <c r="L8" s="43" t="s">
        <v>58</v>
      </c>
      <c r="M8" s="44"/>
      <c r="N8" s="74"/>
      <c r="O8" s="74" t="s">
        <v>59</v>
      </c>
      <c r="P8" s="44" t="s">
        <v>38</v>
      </c>
      <c r="Q8" s="44"/>
      <c r="R8" s="74"/>
      <c r="S8" s="74" t="s">
        <v>60</v>
      </c>
      <c r="T8" s="44" t="s">
        <v>61</v>
      </c>
      <c r="U8" s="44"/>
      <c r="V8" s="43"/>
      <c r="W8" s="74" t="s">
        <v>62</v>
      </c>
      <c r="X8" s="44" t="s">
        <v>1799</v>
      </c>
      <c r="Y8" s="44"/>
      <c r="Z8" s="74"/>
      <c r="AA8" s="74"/>
      <c r="AB8" s="74"/>
      <c r="AC8" s="44"/>
      <c r="AD8" s="44"/>
      <c r="AE8" s="44"/>
      <c r="AF8" s="74"/>
      <c r="AG8" s="74"/>
      <c r="AH8" s="44"/>
      <c r="AI8" s="44"/>
      <c r="AJ8" s="74"/>
      <c r="AK8" s="75"/>
      <c r="AL8" s="44"/>
      <c r="AM8" s="74"/>
      <c r="AN8" s="74"/>
      <c r="AO8" s="75"/>
      <c r="AP8" s="44"/>
      <c r="AQ8" s="44"/>
      <c r="AR8" s="74"/>
      <c r="AS8" s="75"/>
      <c r="AT8" s="44"/>
      <c r="AU8" s="44"/>
      <c r="AV8" s="74"/>
      <c r="AW8" s="75"/>
      <c r="AX8" s="44"/>
      <c r="AY8" s="74"/>
      <c r="AZ8" s="43"/>
      <c r="BA8" s="44"/>
      <c r="BB8" s="43"/>
      <c r="BC8" s="44"/>
      <c r="BD8" s="44"/>
    </row>
    <row r="9" spans="1:56" s="320" customFormat="1" ht="34.5" customHeight="1">
      <c r="A9" s="78">
        <v>7</v>
      </c>
      <c r="B9" s="65" t="s">
        <v>29</v>
      </c>
      <c r="C9" s="66"/>
      <c r="D9" s="67" t="s">
        <v>63</v>
      </c>
      <c r="E9" s="66"/>
      <c r="F9" s="68" t="s">
        <v>1585</v>
      </c>
      <c r="G9" s="69" t="s">
        <v>32</v>
      </c>
      <c r="H9" s="21" t="s">
        <v>33</v>
      </c>
      <c r="I9" s="77" t="s">
        <v>56</v>
      </c>
      <c r="J9" s="71"/>
      <c r="K9" s="44" t="s">
        <v>64</v>
      </c>
      <c r="L9" s="42"/>
      <c r="M9" s="44"/>
      <c r="N9" s="44"/>
      <c r="O9" s="44" t="s">
        <v>65</v>
      </c>
      <c r="P9" s="44"/>
      <c r="Q9" s="44"/>
      <c r="R9" s="74"/>
      <c r="S9" s="74" t="s">
        <v>66</v>
      </c>
      <c r="T9" s="44" t="s">
        <v>67</v>
      </c>
      <c r="U9" s="44"/>
      <c r="V9" s="43"/>
      <c r="W9" s="74" t="s">
        <v>68</v>
      </c>
      <c r="X9" s="44"/>
      <c r="Y9" s="44"/>
      <c r="Z9" s="74"/>
      <c r="AA9" s="74"/>
      <c r="AB9" s="74"/>
      <c r="AC9" s="44"/>
      <c r="AD9" s="44"/>
      <c r="AE9" s="44"/>
      <c r="AF9" s="74"/>
      <c r="AG9" s="74"/>
      <c r="AH9" s="44"/>
      <c r="AI9" s="44"/>
      <c r="AJ9" s="74"/>
      <c r="AK9" s="75"/>
      <c r="AL9" s="44"/>
      <c r="AM9" s="74"/>
      <c r="AN9" s="74"/>
      <c r="AO9" s="75"/>
      <c r="AP9" s="44"/>
      <c r="AQ9" s="44"/>
      <c r="AR9" s="74"/>
      <c r="AS9" s="75"/>
      <c r="AT9" s="44"/>
      <c r="AU9" s="44"/>
      <c r="AV9" s="74"/>
      <c r="AW9" s="75"/>
      <c r="AX9" s="44"/>
      <c r="AY9" s="74"/>
      <c r="AZ9" s="43"/>
      <c r="BA9" s="44"/>
      <c r="BB9" s="43"/>
      <c r="BC9" s="44"/>
      <c r="BD9" s="44"/>
    </row>
    <row r="10" spans="1:56" s="320" customFormat="1" ht="34.5" customHeight="1">
      <c r="A10" s="64">
        <v>8</v>
      </c>
      <c r="B10" s="31" t="s">
        <v>29</v>
      </c>
      <c r="C10" s="66"/>
      <c r="D10" s="67" t="s">
        <v>69</v>
      </c>
      <c r="E10" s="66"/>
      <c r="F10" s="68" t="s">
        <v>1585</v>
      </c>
      <c r="G10" s="79" t="s">
        <v>32</v>
      </c>
      <c r="H10" s="21" t="s">
        <v>33</v>
      </c>
      <c r="I10" s="77" t="s">
        <v>56</v>
      </c>
      <c r="J10" s="71"/>
      <c r="K10" s="44" t="s">
        <v>64</v>
      </c>
      <c r="L10" s="42"/>
      <c r="M10" s="44"/>
      <c r="N10" s="44"/>
      <c r="O10" s="44" t="s">
        <v>65</v>
      </c>
      <c r="P10" s="44"/>
      <c r="Q10" s="44"/>
      <c r="R10" s="74"/>
      <c r="S10" s="74" t="s">
        <v>66</v>
      </c>
      <c r="T10" s="44" t="s">
        <v>70</v>
      </c>
      <c r="U10" s="44"/>
      <c r="V10" s="43"/>
      <c r="W10" s="44" t="s">
        <v>71</v>
      </c>
      <c r="X10" s="44"/>
      <c r="Y10" s="44"/>
      <c r="Z10" s="74"/>
      <c r="AA10" s="74"/>
      <c r="AB10" s="74"/>
      <c r="AC10" s="44"/>
      <c r="AD10" s="44"/>
      <c r="AE10" s="44"/>
      <c r="AF10" s="74"/>
      <c r="AG10" s="74"/>
      <c r="AH10" s="44"/>
      <c r="AI10" s="44"/>
      <c r="AJ10" s="74"/>
      <c r="AK10" s="75"/>
      <c r="AL10" s="44"/>
      <c r="AM10" s="74"/>
      <c r="AN10" s="74"/>
      <c r="AO10" s="75"/>
      <c r="AP10" s="44"/>
      <c r="AQ10" s="44"/>
      <c r="AR10" s="74"/>
      <c r="AS10" s="75"/>
      <c r="AT10" s="44"/>
      <c r="AU10" s="44"/>
      <c r="AV10" s="74"/>
      <c r="AW10" s="75"/>
      <c r="AX10" s="44"/>
      <c r="AY10" s="74"/>
      <c r="AZ10" s="43"/>
      <c r="BA10" s="44"/>
      <c r="BB10" s="43"/>
      <c r="BC10" s="44"/>
      <c r="BD10" s="44"/>
    </row>
    <row r="11" spans="1:56" s="320" customFormat="1" ht="34.5" customHeight="1">
      <c r="A11" s="76">
        <v>9</v>
      </c>
      <c r="B11" s="31" t="s">
        <v>29</v>
      </c>
      <c r="C11" s="66"/>
      <c r="D11" s="67" t="s">
        <v>72</v>
      </c>
      <c r="E11" s="66"/>
      <c r="F11" s="68" t="s">
        <v>1585</v>
      </c>
      <c r="G11" s="79" t="s">
        <v>32</v>
      </c>
      <c r="H11" s="21" t="s">
        <v>33</v>
      </c>
      <c r="I11" s="77" t="s">
        <v>56</v>
      </c>
      <c r="J11" s="71"/>
      <c r="K11" s="44" t="s">
        <v>64</v>
      </c>
      <c r="L11" s="42"/>
      <c r="M11" s="44"/>
      <c r="N11" s="44"/>
      <c r="O11" s="44" t="s">
        <v>65</v>
      </c>
      <c r="P11" s="44"/>
      <c r="Q11" s="44"/>
      <c r="R11" s="74"/>
      <c r="S11" s="74" t="s">
        <v>66</v>
      </c>
      <c r="T11" s="44" t="s">
        <v>73</v>
      </c>
      <c r="U11" s="44"/>
      <c r="V11" s="43"/>
      <c r="W11" s="74" t="s">
        <v>74</v>
      </c>
      <c r="X11" s="44"/>
      <c r="Y11" s="44"/>
      <c r="Z11" s="74"/>
      <c r="AA11" s="74"/>
      <c r="AB11" s="74"/>
      <c r="AC11" s="44"/>
      <c r="AD11" s="44"/>
      <c r="AE11" s="44"/>
      <c r="AF11" s="74"/>
      <c r="AG11" s="74"/>
      <c r="AH11" s="44"/>
      <c r="AI11" s="44"/>
      <c r="AJ11" s="74"/>
      <c r="AK11" s="75"/>
      <c r="AL11" s="44"/>
      <c r="AM11" s="74"/>
      <c r="AN11" s="74"/>
      <c r="AO11" s="75"/>
      <c r="AP11" s="44"/>
      <c r="AQ11" s="44"/>
      <c r="AR11" s="74"/>
      <c r="AS11" s="75"/>
      <c r="AT11" s="44"/>
      <c r="AU11" s="44"/>
      <c r="AV11" s="74"/>
      <c r="AW11" s="75"/>
      <c r="AX11" s="44"/>
      <c r="AY11" s="74"/>
      <c r="AZ11" s="43"/>
      <c r="BA11" s="44"/>
      <c r="BB11" s="43"/>
      <c r="BC11" s="44"/>
      <c r="BD11" s="44"/>
    </row>
    <row r="12" spans="1:56" s="320" customFormat="1" ht="185.25">
      <c r="A12" s="15">
        <v>10</v>
      </c>
      <c r="B12" s="31" t="s">
        <v>29</v>
      </c>
      <c r="C12" s="80" t="s">
        <v>75</v>
      </c>
      <c r="D12" s="54" t="s">
        <v>76</v>
      </c>
      <c r="E12" s="33"/>
      <c r="F12" s="34" t="s">
        <v>1586</v>
      </c>
      <c r="G12" s="35" t="s">
        <v>77</v>
      </c>
      <c r="H12" s="21" t="s">
        <v>33</v>
      </c>
      <c r="I12" s="81" t="s">
        <v>78</v>
      </c>
      <c r="J12" s="82"/>
      <c r="K12" s="83" t="s">
        <v>79</v>
      </c>
      <c r="L12" s="43" t="s">
        <v>80</v>
      </c>
      <c r="M12" s="44"/>
      <c r="N12" s="74"/>
      <c r="O12" s="74" t="s">
        <v>81</v>
      </c>
      <c r="P12" s="74" t="s">
        <v>82</v>
      </c>
      <c r="Q12" s="44"/>
      <c r="R12" s="74"/>
      <c r="S12" s="74" t="s">
        <v>83</v>
      </c>
      <c r="T12" s="84" t="s">
        <v>84</v>
      </c>
      <c r="U12" s="44"/>
      <c r="V12" s="43"/>
      <c r="W12" s="74" t="s">
        <v>85</v>
      </c>
      <c r="X12" s="44"/>
      <c r="Y12" s="44"/>
      <c r="Z12" s="85"/>
      <c r="AA12" s="74"/>
      <c r="AB12" s="44"/>
      <c r="AC12" s="44"/>
      <c r="AD12" s="44"/>
      <c r="AE12" s="44"/>
      <c r="AF12" s="74"/>
      <c r="AG12" s="44"/>
      <c r="AH12" s="44"/>
      <c r="AI12" s="44"/>
      <c r="AJ12" s="74"/>
      <c r="AK12" s="75"/>
      <c r="AL12" s="44"/>
      <c r="AM12" s="74"/>
      <c r="AN12" s="86"/>
      <c r="AO12" s="75"/>
      <c r="AP12" s="44"/>
      <c r="AQ12" s="44"/>
      <c r="AR12" s="74"/>
      <c r="AS12" s="75"/>
      <c r="AT12" s="44"/>
      <c r="AU12" s="44"/>
      <c r="AV12" s="74"/>
      <c r="AW12" s="75"/>
      <c r="AX12" s="44"/>
      <c r="AY12" s="74"/>
      <c r="AZ12" s="43"/>
      <c r="BA12" s="44"/>
      <c r="BB12" s="43"/>
      <c r="BC12" s="44"/>
      <c r="BD12" s="44"/>
    </row>
    <row r="13" spans="1:56" s="311" customFormat="1" ht="180.75" customHeight="1">
      <c r="A13" s="30">
        <v>11</v>
      </c>
      <c r="B13" s="31" t="s">
        <v>29</v>
      </c>
      <c r="C13" s="87" t="s">
        <v>75</v>
      </c>
      <c r="D13" s="19" t="s">
        <v>86</v>
      </c>
      <c r="E13" s="19"/>
      <c r="F13" s="88" t="s">
        <v>1587</v>
      </c>
      <c r="G13" s="20" t="s">
        <v>87</v>
      </c>
      <c r="H13" s="21" t="s">
        <v>33</v>
      </c>
      <c r="I13" s="89" t="s">
        <v>88</v>
      </c>
      <c r="J13" s="89"/>
      <c r="K13" s="24" t="s">
        <v>89</v>
      </c>
      <c r="L13" s="29" t="s">
        <v>90</v>
      </c>
      <c r="M13" s="28"/>
      <c r="N13" s="24"/>
      <c r="O13" s="24" t="s">
        <v>91</v>
      </c>
      <c r="P13" s="24" t="s">
        <v>92</v>
      </c>
      <c r="Q13" s="24"/>
      <c r="R13" s="24"/>
      <c r="S13" s="24" t="s">
        <v>93</v>
      </c>
      <c r="T13" s="90" t="s">
        <v>94</v>
      </c>
      <c r="U13" s="25"/>
      <c r="V13" s="24"/>
      <c r="W13" s="24" t="s">
        <v>95</v>
      </c>
      <c r="X13" s="24"/>
      <c r="Y13" s="25"/>
      <c r="Z13" s="27"/>
      <c r="AA13" s="24"/>
      <c r="AB13" s="25"/>
      <c r="AC13" s="25"/>
      <c r="AD13" s="28"/>
      <c r="AE13" s="28"/>
      <c r="AF13" s="24"/>
      <c r="AG13" s="24"/>
      <c r="AH13" s="24"/>
      <c r="AI13" s="25"/>
      <c r="AJ13" s="25"/>
      <c r="AK13" s="25"/>
      <c r="AL13" s="25"/>
      <c r="AM13" s="25"/>
      <c r="AN13" s="29"/>
      <c r="AO13" s="24"/>
      <c r="AP13" s="28"/>
      <c r="AQ13" s="25"/>
      <c r="AR13" s="28"/>
      <c r="AS13" s="28"/>
      <c r="AT13" s="28"/>
      <c r="AU13" s="28"/>
      <c r="AV13" s="28"/>
      <c r="AW13" s="28"/>
      <c r="AX13" s="28"/>
      <c r="AY13" s="28"/>
      <c r="AZ13" s="28"/>
      <c r="BA13" s="28"/>
      <c r="BB13" s="28"/>
      <c r="BC13" s="28"/>
      <c r="BD13" s="28"/>
    </row>
    <row r="14" spans="1:56" s="769" customFormat="1" ht="99.75">
      <c r="A14" s="91">
        <v>12</v>
      </c>
      <c r="B14" s="31" t="s">
        <v>29</v>
      </c>
      <c r="C14" s="80" t="s">
        <v>75</v>
      </c>
      <c r="D14" s="19" t="s">
        <v>96</v>
      </c>
      <c r="E14" s="19"/>
      <c r="F14" s="92" t="s">
        <v>1588</v>
      </c>
      <c r="G14" s="20" t="s">
        <v>97</v>
      </c>
      <c r="H14" s="21" t="s">
        <v>33</v>
      </c>
      <c r="I14" s="93" t="s">
        <v>78</v>
      </c>
      <c r="J14" s="93"/>
      <c r="K14" s="92" t="s">
        <v>98</v>
      </c>
      <c r="L14" s="94" t="s">
        <v>99</v>
      </c>
      <c r="M14" s="28"/>
      <c r="N14" s="92"/>
      <c r="O14" s="92" t="s">
        <v>100</v>
      </c>
      <c r="P14" s="92" t="s">
        <v>101</v>
      </c>
      <c r="Q14" s="28"/>
      <c r="R14" s="92"/>
      <c r="S14" s="92" t="s">
        <v>102</v>
      </c>
      <c r="T14" s="92" t="s">
        <v>103</v>
      </c>
      <c r="U14" s="28"/>
      <c r="V14" s="24"/>
      <c r="W14" s="92" t="s">
        <v>104</v>
      </c>
      <c r="X14" s="95"/>
      <c r="Y14" s="28"/>
      <c r="Z14" s="27"/>
      <c r="AA14" s="24"/>
      <c r="AB14" s="96"/>
      <c r="AC14" s="28"/>
      <c r="AD14" s="28"/>
      <c r="AE14" s="28"/>
      <c r="AF14" s="96"/>
      <c r="AG14" s="92"/>
      <c r="AH14" s="28"/>
      <c r="AI14" s="28"/>
      <c r="AJ14" s="28"/>
      <c r="AK14" s="28"/>
      <c r="AL14" s="28"/>
      <c r="AM14" s="28"/>
      <c r="AN14" s="97"/>
      <c r="AO14" s="28"/>
      <c r="AP14" s="28"/>
      <c r="AQ14" s="28"/>
      <c r="AR14" s="28"/>
      <c r="AS14" s="28"/>
      <c r="AT14" s="28"/>
      <c r="AU14" s="28"/>
      <c r="AV14" s="28"/>
      <c r="AW14" s="28"/>
      <c r="AX14" s="28"/>
      <c r="AY14" s="28"/>
      <c r="AZ14" s="28"/>
      <c r="BA14" s="28"/>
      <c r="BB14" s="28"/>
      <c r="BC14" s="28"/>
      <c r="BD14" s="28"/>
    </row>
    <row r="15" spans="1:56" s="769" customFormat="1" ht="114">
      <c r="A15" s="15">
        <v>13</v>
      </c>
      <c r="B15" s="31" t="s">
        <v>29</v>
      </c>
      <c r="C15" s="80" t="s">
        <v>75</v>
      </c>
      <c r="D15" s="19" t="s">
        <v>105</v>
      </c>
      <c r="E15" s="19"/>
      <c r="F15" s="92" t="s">
        <v>1589</v>
      </c>
      <c r="G15" s="98" t="s">
        <v>106</v>
      </c>
      <c r="H15" s="21" t="s">
        <v>33</v>
      </c>
      <c r="I15" s="93" t="s">
        <v>88</v>
      </c>
      <c r="J15" s="93"/>
      <c r="K15" s="92" t="s">
        <v>107</v>
      </c>
      <c r="L15" s="94" t="s">
        <v>108</v>
      </c>
      <c r="M15" s="28"/>
      <c r="N15" s="92"/>
      <c r="O15" s="92" t="s">
        <v>109</v>
      </c>
      <c r="P15" s="88" t="s">
        <v>1590</v>
      </c>
      <c r="Q15" s="28"/>
      <c r="R15" s="92"/>
      <c r="S15" s="92" t="s">
        <v>110</v>
      </c>
      <c r="T15" s="92" t="s">
        <v>111</v>
      </c>
      <c r="U15" s="28"/>
      <c r="V15" s="24"/>
      <c r="W15" s="92" t="s">
        <v>112</v>
      </c>
      <c r="X15" s="95"/>
      <c r="Y15" s="28"/>
      <c r="Z15" s="27"/>
      <c r="AA15" s="24"/>
      <c r="AB15" s="88"/>
      <c r="AC15" s="25"/>
      <c r="AD15" s="28"/>
      <c r="AE15" s="28"/>
      <c r="AF15" s="92"/>
      <c r="AG15" s="88"/>
      <c r="AH15" s="92"/>
      <c r="AI15" s="28"/>
      <c r="AJ15" s="24"/>
      <c r="AK15" s="88"/>
      <c r="AL15" s="28"/>
      <c r="AM15" s="92"/>
      <c r="AN15" s="94"/>
      <c r="AO15" s="88"/>
      <c r="AP15" s="92"/>
      <c r="AQ15" s="28"/>
      <c r="AR15" s="92"/>
      <c r="AS15" s="88"/>
      <c r="AT15" s="28"/>
      <c r="AU15" s="28"/>
      <c r="AV15" s="92"/>
      <c r="AW15" s="92"/>
      <c r="AX15" s="28"/>
      <c r="AY15" s="92"/>
      <c r="AZ15" s="92"/>
      <c r="BA15" s="28"/>
      <c r="BB15" s="92"/>
      <c r="BC15" s="28"/>
      <c r="BD15" s="28"/>
    </row>
    <row r="16" spans="1:56" s="379" customFormat="1" ht="85.5">
      <c r="A16" s="64">
        <v>14</v>
      </c>
      <c r="B16" s="99" t="s">
        <v>29</v>
      </c>
      <c r="C16" s="100" t="s">
        <v>75</v>
      </c>
      <c r="D16" s="101" t="s">
        <v>113</v>
      </c>
      <c r="E16" s="101"/>
      <c r="F16" s="102" t="s">
        <v>1591</v>
      </c>
      <c r="G16" s="103" t="s">
        <v>114</v>
      </c>
      <c r="H16" s="21" t="s">
        <v>33</v>
      </c>
      <c r="I16" s="70" t="s">
        <v>78</v>
      </c>
      <c r="J16" s="70"/>
      <c r="K16" s="104" t="s">
        <v>115</v>
      </c>
      <c r="L16" s="83" t="s">
        <v>116</v>
      </c>
      <c r="M16" s="105"/>
      <c r="N16" s="39"/>
      <c r="O16" s="39" t="s">
        <v>117</v>
      </c>
      <c r="P16" s="38" t="s">
        <v>1592</v>
      </c>
      <c r="Q16" s="40"/>
      <c r="R16" s="39"/>
      <c r="S16" s="39" t="s">
        <v>118</v>
      </c>
      <c r="T16" s="39" t="s">
        <v>119</v>
      </c>
      <c r="U16" s="40"/>
      <c r="V16" s="39"/>
      <c r="W16" s="39" t="s">
        <v>120</v>
      </c>
      <c r="X16" s="40"/>
      <c r="Y16" s="40"/>
      <c r="Z16" s="106"/>
      <c r="AA16" s="39"/>
      <c r="AB16" s="39"/>
      <c r="AC16" s="40"/>
      <c r="AD16" s="105"/>
      <c r="AE16" s="105"/>
      <c r="AF16" s="39"/>
      <c r="AG16" s="39"/>
      <c r="AH16" s="105"/>
      <c r="AI16" s="40"/>
      <c r="AJ16" s="39"/>
      <c r="AK16" s="39"/>
      <c r="AL16" s="40"/>
      <c r="AM16" s="43"/>
      <c r="AN16" s="107"/>
      <c r="AO16" s="39"/>
      <c r="AP16" s="105"/>
      <c r="AQ16" s="40"/>
      <c r="AR16" s="39"/>
      <c r="AS16" s="39"/>
      <c r="AT16" s="105"/>
      <c r="AU16" s="40"/>
      <c r="AV16" s="39"/>
      <c r="AW16" s="39"/>
      <c r="AX16" s="40"/>
      <c r="AY16" s="39"/>
      <c r="AZ16" s="39"/>
      <c r="BA16" s="40"/>
      <c r="BB16" s="39"/>
      <c r="BC16" s="105"/>
      <c r="BD16" s="105"/>
    </row>
    <row r="17" spans="1:56" s="379" customFormat="1" ht="39.75" customHeight="1">
      <c r="A17" s="78">
        <v>15</v>
      </c>
      <c r="B17" s="108" t="s">
        <v>29</v>
      </c>
      <c r="C17" s="109"/>
      <c r="D17" s="110" t="s">
        <v>121</v>
      </c>
      <c r="E17" s="101"/>
      <c r="F17" s="102" t="s">
        <v>1593</v>
      </c>
      <c r="G17" s="103" t="s">
        <v>122</v>
      </c>
      <c r="H17" s="21" t="s">
        <v>33</v>
      </c>
      <c r="I17" s="70" t="s">
        <v>78</v>
      </c>
      <c r="J17" s="70"/>
      <c r="K17" s="105" t="s">
        <v>123</v>
      </c>
      <c r="L17" s="111" t="s">
        <v>124</v>
      </c>
      <c r="M17" s="105"/>
      <c r="N17" s="40"/>
      <c r="O17" s="40" t="s">
        <v>123</v>
      </c>
      <c r="P17" s="39" t="s">
        <v>125</v>
      </c>
      <c r="Q17" s="39"/>
      <c r="R17" s="39"/>
      <c r="S17" s="39" t="s">
        <v>123</v>
      </c>
      <c r="T17" s="40" t="s">
        <v>126</v>
      </c>
      <c r="U17" s="40"/>
      <c r="V17" s="39"/>
      <c r="W17" s="39" t="s">
        <v>127</v>
      </c>
      <c r="X17" s="40"/>
      <c r="Y17" s="40"/>
      <c r="Z17" s="106"/>
      <c r="AA17" s="39"/>
      <c r="AB17" s="39"/>
      <c r="AC17" s="40"/>
      <c r="AD17" s="105"/>
      <c r="AE17" s="105"/>
      <c r="AF17" s="39"/>
      <c r="AG17" s="39"/>
      <c r="AH17" s="105"/>
      <c r="AI17" s="40"/>
      <c r="AJ17" s="39"/>
      <c r="AK17" s="39"/>
      <c r="AL17" s="40"/>
      <c r="AM17" s="39"/>
      <c r="AN17" s="107"/>
      <c r="AO17" s="39"/>
      <c r="AP17" s="105"/>
      <c r="AQ17" s="40"/>
      <c r="AR17" s="39"/>
      <c r="AS17" s="39"/>
      <c r="AT17" s="105"/>
      <c r="AU17" s="40"/>
      <c r="AV17" s="39"/>
      <c r="AW17" s="39"/>
      <c r="AX17" s="40"/>
      <c r="AY17" s="39"/>
      <c r="AZ17" s="39"/>
      <c r="BA17" s="40"/>
      <c r="BB17" s="39"/>
      <c r="BC17" s="105"/>
      <c r="BD17" s="105"/>
    </row>
    <row r="18" spans="1:56" s="379" customFormat="1" ht="282.75" customHeight="1">
      <c r="A18" s="78">
        <v>16</v>
      </c>
      <c r="B18" s="108" t="s">
        <v>29</v>
      </c>
      <c r="C18" s="100" t="s">
        <v>75</v>
      </c>
      <c r="D18" s="110" t="s">
        <v>128</v>
      </c>
      <c r="E18" s="101"/>
      <c r="F18" s="102" t="s">
        <v>1594</v>
      </c>
      <c r="G18" s="103" t="s">
        <v>129</v>
      </c>
      <c r="H18" s="21" t="s">
        <v>33</v>
      </c>
      <c r="I18" s="70" t="s">
        <v>78</v>
      </c>
      <c r="J18" s="70"/>
      <c r="K18" s="83" t="s">
        <v>130</v>
      </c>
      <c r="L18" s="112" t="s">
        <v>131</v>
      </c>
      <c r="M18" s="105"/>
      <c r="N18" s="39"/>
      <c r="O18" s="39" t="s">
        <v>132</v>
      </c>
      <c r="P18" s="39" t="s">
        <v>133</v>
      </c>
      <c r="Q18" s="40"/>
      <c r="R18" s="39"/>
      <c r="S18" s="39" t="s">
        <v>134</v>
      </c>
      <c r="T18" s="38" t="s">
        <v>1595</v>
      </c>
      <c r="U18" s="40"/>
      <c r="V18" s="39"/>
      <c r="W18" s="39" t="s">
        <v>135</v>
      </c>
      <c r="X18" s="40"/>
      <c r="Y18" s="40"/>
      <c r="Z18" s="113"/>
      <c r="AA18" s="39"/>
      <c r="AB18" s="39"/>
      <c r="AC18" s="40"/>
      <c r="AD18" s="105"/>
      <c r="AE18" s="105"/>
      <c r="AF18" s="39"/>
      <c r="AG18" s="39"/>
      <c r="AH18" s="105"/>
      <c r="AI18" s="40"/>
      <c r="AJ18" s="39"/>
      <c r="AK18" s="39"/>
      <c r="AL18" s="40"/>
      <c r="AM18" s="39"/>
      <c r="AN18" s="107"/>
      <c r="AO18" s="39"/>
      <c r="AP18" s="105"/>
      <c r="AQ18" s="40"/>
      <c r="AR18" s="39"/>
      <c r="AS18" s="39"/>
      <c r="AT18" s="105"/>
      <c r="AU18" s="40"/>
      <c r="AV18" s="39"/>
      <c r="AW18" s="39"/>
      <c r="AX18" s="40"/>
      <c r="AY18" s="39"/>
      <c r="AZ18" s="39"/>
      <c r="BA18" s="40"/>
      <c r="BB18" s="39"/>
      <c r="BC18" s="105"/>
      <c r="BD18" s="105"/>
    </row>
    <row r="19" spans="1:56" s="379" customFormat="1" ht="90" customHeight="1">
      <c r="A19" s="114">
        <v>17</v>
      </c>
      <c r="B19" s="115" t="s">
        <v>29</v>
      </c>
      <c r="C19" s="116" t="s">
        <v>75</v>
      </c>
      <c r="D19" s="117" t="s">
        <v>136</v>
      </c>
      <c r="E19" s="118"/>
      <c r="F19" s="119" t="s">
        <v>1596</v>
      </c>
      <c r="G19" s="120" t="s">
        <v>129</v>
      </c>
      <c r="H19" s="21" t="s">
        <v>33</v>
      </c>
      <c r="I19" s="121" t="s">
        <v>88</v>
      </c>
      <c r="J19" s="122"/>
      <c r="K19" s="74" t="s">
        <v>137</v>
      </c>
      <c r="L19" s="74" t="s">
        <v>138</v>
      </c>
      <c r="M19" s="44"/>
      <c r="N19" s="39"/>
      <c r="O19" s="123" t="s">
        <v>139</v>
      </c>
      <c r="P19" s="123" t="s">
        <v>140</v>
      </c>
      <c r="Q19" s="42"/>
      <c r="R19" s="39"/>
      <c r="S19" s="123" t="s">
        <v>141</v>
      </c>
      <c r="T19" s="43" t="s">
        <v>142</v>
      </c>
      <c r="U19" s="42"/>
      <c r="V19" s="43"/>
      <c r="W19" s="43" t="s">
        <v>143</v>
      </c>
      <c r="X19" s="42"/>
      <c r="Y19" s="42"/>
      <c r="Z19" s="43"/>
      <c r="AA19" s="43"/>
      <c r="AB19" s="43"/>
      <c r="AC19" s="42"/>
      <c r="AD19" s="44"/>
      <c r="AE19" s="44"/>
      <c r="AF19" s="43"/>
      <c r="AG19" s="43"/>
      <c r="AH19" s="44"/>
      <c r="AI19" s="42"/>
      <c r="AJ19" s="43"/>
      <c r="AK19" s="43"/>
      <c r="AL19" s="42"/>
      <c r="AM19" s="43"/>
      <c r="AN19" s="43"/>
      <c r="AO19" s="43"/>
      <c r="AP19" s="44"/>
      <c r="AQ19" s="42"/>
      <c r="AR19" s="43"/>
      <c r="AS19" s="43"/>
      <c r="AT19" s="44"/>
      <c r="AU19" s="42"/>
      <c r="AV19" s="43"/>
      <c r="AW19" s="43"/>
      <c r="AX19" s="42"/>
      <c r="AY19" s="43"/>
      <c r="AZ19" s="43"/>
      <c r="BA19" s="42"/>
      <c r="BB19" s="43"/>
      <c r="BC19" s="44"/>
      <c r="BD19" s="44"/>
    </row>
    <row r="20" spans="1:56" s="379" customFormat="1" ht="63.75" customHeight="1">
      <c r="A20" s="124">
        <v>18</v>
      </c>
      <c r="B20" s="125" t="s">
        <v>29</v>
      </c>
      <c r="C20" s="118"/>
      <c r="D20" s="126" t="s">
        <v>144</v>
      </c>
      <c r="E20" s="127" t="s">
        <v>145</v>
      </c>
      <c r="F20" s="128" t="s">
        <v>1597</v>
      </c>
      <c r="G20" s="129" t="s">
        <v>129</v>
      </c>
      <c r="H20" s="21" t="s">
        <v>33</v>
      </c>
      <c r="I20" s="130" t="s">
        <v>34</v>
      </c>
      <c r="J20" s="131"/>
      <c r="K20" s="74"/>
      <c r="L20" s="74"/>
      <c r="M20" s="44"/>
      <c r="N20" s="83"/>
      <c r="O20" s="83"/>
      <c r="P20" s="132"/>
      <c r="Q20" s="44"/>
      <c r="R20" s="83"/>
      <c r="S20" s="83"/>
      <c r="T20" s="44" t="s">
        <v>146</v>
      </c>
      <c r="U20" s="44"/>
      <c r="V20" s="74"/>
      <c r="W20" s="74" t="s">
        <v>147</v>
      </c>
      <c r="X20" s="44"/>
      <c r="Y20" s="44"/>
      <c r="Z20" s="74"/>
      <c r="AA20" s="74"/>
      <c r="AB20" s="74"/>
      <c r="AC20" s="44"/>
      <c r="AD20" s="44"/>
      <c r="AE20" s="44"/>
      <c r="AF20" s="74"/>
      <c r="AG20" s="74"/>
      <c r="AH20" s="44"/>
      <c r="AI20" s="44"/>
      <c r="AJ20" s="74"/>
      <c r="AK20" s="74"/>
      <c r="AL20" s="44"/>
      <c r="AM20" s="74"/>
      <c r="AN20" s="74"/>
      <c r="AO20" s="74"/>
      <c r="AP20" s="44"/>
      <c r="AQ20" s="44"/>
      <c r="AR20" s="74"/>
      <c r="AS20" s="74"/>
      <c r="AT20" s="44"/>
      <c r="AU20" s="44"/>
      <c r="AV20" s="74"/>
      <c r="AW20" s="74"/>
      <c r="AX20" s="44"/>
      <c r="AY20" s="74"/>
      <c r="AZ20" s="74"/>
      <c r="BA20" s="44"/>
      <c r="BB20" s="74"/>
      <c r="BC20" s="44"/>
      <c r="BD20" s="44"/>
    </row>
    <row r="21" spans="1:56" s="379" customFormat="1" ht="57">
      <c r="A21" s="133">
        <v>19</v>
      </c>
      <c r="B21" s="125" t="s">
        <v>29</v>
      </c>
      <c r="C21" s="118"/>
      <c r="D21" s="134" t="s">
        <v>148</v>
      </c>
      <c r="E21" s="134"/>
      <c r="F21" s="135" t="s">
        <v>1598</v>
      </c>
      <c r="G21" s="35" t="s">
        <v>149</v>
      </c>
      <c r="H21" s="21" t="s">
        <v>33</v>
      </c>
      <c r="I21" s="130" t="s">
        <v>34</v>
      </c>
      <c r="J21" s="131"/>
      <c r="K21" s="74" t="s">
        <v>150</v>
      </c>
      <c r="L21" s="74" t="s">
        <v>150</v>
      </c>
      <c r="M21" s="44"/>
      <c r="N21" s="83"/>
      <c r="O21" s="83" t="s">
        <v>151</v>
      </c>
      <c r="P21" s="132" t="s">
        <v>38</v>
      </c>
      <c r="Q21" s="44"/>
      <c r="R21" s="83"/>
      <c r="S21" s="83" t="s">
        <v>152</v>
      </c>
      <c r="T21" s="136" t="s">
        <v>1599</v>
      </c>
      <c r="V21" s="137"/>
      <c r="W21" s="138" t="s">
        <v>153</v>
      </c>
      <c r="X21" s="44"/>
      <c r="Y21" s="44"/>
      <c r="Z21" s="74"/>
      <c r="AA21" s="74"/>
      <c r="AB21" s="74"/>
      <c r="AC21" s="44"/>
      <c r="AD21" s="44"/>
      <c r="AE21" s="44"/>
      <c r="AF21" s="74"/>
      <c r="AG21" s="74"/>
      <c r="AH21" s="44"/>
      <c r="AI21" s="44"/>
      <c r="AJ21" s="74"/>
      <c r="AK21" s="74"/>
      <c r="AL21" s="44"/>
      <c r="AM21" s="74"/>
      <c r="AN21" s="74"/>
      <c r="AO21" s="74"/>
      <c r="AP21" s="44"/>
      <c r="AQ21" s="44"/>
      <c r="AR21" s="74"/>
      <c r="AS21" s="74"/>
      <c r="AT21" s="44"/>
      <c r="AU21" s="44"/>
      <c r="AV21" s="74"/>
      <c r="AW21" s="74"/>
      <c r="AX21" s="44"/>
      <c r="AY21" s="74"/>
      <c r="AZ21" s="74"/>
      <c r="BA21" s="44"/>
      <c r="BB21" s="74"/>
      <c r="BC21" s="44"/>
      <c r="BD21" s="44"/>
    </row>
    <row r="22" spans="1:56" s="379" customFormat="1" ht="42.75">
      <c r="A22" s="114">
        <v>20</v>
      </c>
      <c r="B22" s="125" t="s">
        <v>29</v>
      </c>
      <c r="C22" s="118"/>
      <c r="D22" s="126" t="s">
        <v>154</v>
      </c>
      <c r="E22" s="127" t="s">
        <v>155</v>
      </c>
      <c r="F22" s="139" t="s">
        <v>1600</v>
      </c>
      <c r="G22" s="35" t="s">
        <v>149</v>
      </c>
      <c r="H22" s="21" t="s">
        <v>33</v>
      </c>
      <c r="I22" s="130" t="s">
        <v>34</v>
      </c>
      <c r="J22" s="131"/>
      <c r="K22" s="74"/>
      <c r="L22" s="74"/>
      <c r="M22" s="44"/>
      <c r="N22" s="83"/>
      <c r="O22" s="83"/>
      <c r="P22" s="132"/>
      <c r="Q22" s="44"/>
      <c r="R22" s="83"/>
      <c r="S22" s="83"/>
      <c r="T22" s="140"/>
      <c r="U22" s="141"/>
      <c r="V22" s="74"/>
      <c r="W22" s="112"/>
      <c r="X22" s="44"/>
      <c r="Y22" s="44"/>
      <c r="Z22" s="74"/>
      <c r="AA22" s="74"/>
      <c r="AB22" s="74"/>
      <c r="AC22" s="44"/>
      <c r="AD22" s="44"/>
      <c r="AE22" s="44"/>
      <c r="AF22" s="74"/>
      <c r="AG22" s="74"/>
      <c r="AH22" s="44"/>
      <c r="AI22" s="44"/>
      <c r="AJ22" s="74"/>
      <c r="AK22" s="74"/>
      <c r="AL22" s="44"/>
      <c r="AM22" s="74"/>
      <c r="AN22" s="74"/>
      <c r="AO22" s="74"/>
      <c r="AP22" s="44"/>
      <c r="AQ22" s="44"/>
      <c r="AR22" s="74"/>
      <c r="AS22" s="74"/>
      <c r="AT22" s="44"/>
      <c r="AU22" s="44"/>
      <c r="AV22" s="74"/>
      <c r="AW22" s="74"/>
      <c r="AX22" s="44"/>
      <c r="AY22" s="74"/>
      <c r="AZ22" s="74"/>
      <c r="BA22" s="44"/>
      <c r="BB22" s="74"/>
      <c r="BC22" s="44"/>
      <c r="BD22" s="44"/>
    </row>
    <row r="23" spans="1:56" s="379" customFormat="1" ht="99.75">
      <c r="A23" s="124">
        <v>21</v>
      </c>
      <c r="B23" s="125" t="s">
        <v>29</v>
      </c>
      <c r="C23" s="118"/>
      <c r="D23" s="126" t="s">
        <v>156</v>
      </c>
      <c r="E23" s="127" t="s">
        <v>157</v>
      </c>
      <c r="F23" s="139" t="s">
        <v>1601</v>
      </c>
      <c r="G23" s="35" t="s">
        <v>158</v>
      </c>
      <c r="H23" s="21" t="s">
        <v>33</v>
      </c>
      <c r="I23" s="130" t="s">
        <v>78</v>
      </c>
      <c r="J23" s="142"/>
      <c r="K23" s="74" t="s">
        <v>159</v>
      </c>
      <c r="L23" s="74" t="s">
        <v>160</v>
      </c>
      <c r="M23" s="44"/>
      <c r="N23" s="74"/>
      <c r="O23" s="74" t="s">
        <v>161</v>
      </c>
      <c r="P23" s="132" t="s">
        <v>162</v>
      </c>
      <c r="Q23" s="44"/>
      <c r="R23" s="74"/>
      <c r="S23" s="74" t="s">
        <v>163</v>
      </c>
      <c r="T23" s="75" t="s">
        <v>1602</v>
      </c>
      <c r="U23" s="44"/>
      <c r="V23" s="74"/>
      <c r="W23" s="74" t="s">
        <v>164</v>
      </c>
      <c r="X23" s="44"/>
      <c r="Y23" s="44"/>
      <c r="Z23" s="74"/>
      <c r="AA23" s="74"/>
      <c r="AB23" s="74"/>
      <c r="AC23" s="44"/>
      <c r="AD23" s="44"/>
      <c r="AE23" s="44"/>
      <c r="AF23" s="74"/>
      <c r="AG23" s="74"/>
      <c r="AH23" s="44"/>
      <c r="AI23" s="44"/>
      <c r="AJ23" s="74"/>
      <c r="AK23" s="74"/>
      <c r="AL23" s="44"/>
      <c r="AM23" s="74"/>
      <c r="AN23" s="74"/>
      <c r="AO23" s="74"/>
      <c r="AP23" s="44"/>
      <c r="AQ23" s="44"/>
      <c r="AR23" s="74"/>
      <c r="AS23" s="74"/>
      <c r="AT23" s="44"/>
      <c r="AU23" s="44"/>
      <c r="AV23" s="74"/>
      <c r="AW23" s="74"/>
      <c r="AX23" s="44"/>
      <c r="AY23" s="74"/>
      <c r="AZ23" s="74"/>
      <c r="BA23" s="44"/>
      <c r="BB23" s="74"/>
      <c r="BC23" s="44"/>
      <c r="BD23" s="44"/>
    </row>
    <row r="24" spans="1:56" s="379" customFormat="1" ht="172.5" customHeight="1">
      <c r="A24" s="133">
        <v>22</v>
      </c>
      <c r="B24" s="115" t="s">
        <v>29</v>
      </c>
      <c r="C24" s="118"/>
      <c r="D24" s="143" t="s">
        <v>165</v>
      </c>
      <c r="E24" s="143" t="s">
        <v>1603</v>
      </c>
      <c r="F24" s="144" t="s">
        <v>166</v>
      </c>
      <c r="G24" s="79" t="s">
        <v>158</v>
      </c>
      <c r="H24" s="21" t="s">
        <v>33</v>
      </c>
      <c r="I24" s="70" t="s">
        <v>78</v>
      </c>
      <c r="J24" s="21"/>
      <c r="K24" s="44" t="s">
        <v>167</v>
      </c>
      <c r="L24" s="75" t="s">
        <v>1604</v>
      </c>
      <c r="M24" s="44"/>
      <c r="N24" s="74"/>
      <c r="O24" s="74" t="s">
        <v>168</v>
      </c>
      <c r="P24" s="74" t="s">
        <v>169</v>
      </c>
      <c r="Q24" s="44"/>
      <c r="R24" s="74"/>
      <c r="S24" s="74" t="s">
        <v>170</v>
      </c>
      <c r="T24" s="75" t="s">
        <v>1605</v>
      </c>
      <c r="U24" s="44"/>
      <c r="V24" s="74"/>
      <c r="W24" s="145" t="s">
        <v>171</v>
      </c>
      <c r="X24" s="44"/>
      <c r="Y24" s="44"/>
      <c r="Z24" s="74"/>
      <c r="AA24" s="74"/>
      <c r="AB24" s="74"/>
      <c r="AC24" s="44"/>
      <c r="AD24" s="44"/>
      <c r="AE24" s="44"/>
      <c r="AF24" s="74"/>
      <c r="AG24" s="74"/>
      <c r="AH24" s="44"/>
      <c r="AI24" s="44"/>
      <c r="AJ24" s="74"/>
      <c r="AK24" s="74"/>
      <c r="AL24" s="44"/>
      <c r="AM24" s="74"/>
      <c r="AN24" s="74"/>
      <c r="AO24" s="74"/>
      <c r="AP24" s="44"/>
      <c r="AQ24" s="44"/>
      <c r="AR24" s="74"/>
      <c r="AS24" s="74"/>
      <c r="AT24" s="44"/>
      <c r="AU24" s="44"/>
      <c r="AV24" s="74"/>
      <c r="AW24" s="74"/>
      <c r="AX24" s="44"/>
      <c r="AY24" s="74"/>
      <c r="AZ24" s="74"/>
      <c r="BA24" s="44"/>
      <c r="BB24" s="74"/>
      <c r="BC24" s="44"/>
      <c r="BD24" s="44"/>
    </row>
    <row r="25" spans="1:56" s="379" customFormat="1" ht="299.25">
      <c r="A25" s="114">
        <v>23</v>
      </c>
      <c r="B25" s="125" t="s">
        <v>29</v>
      </c>
      <c r="C25" s="118"/>
      <c r="D25" s="146" t="s">
        <v>172</v>
      </c>
      <c r="E25" s="147" t="s">
        <v>173</v>
      </c>
      <c r="F25" s="148" t="s">
        <v>1606</v>
      </c>
      <c r="G25" s="35" t="s">
        <v>174</v>
      </c>
      <c r="H25" s="21" t="s">
        <v>33</v>
      </c>
      <c r="I25" s="70" t="s">
        <v>78</v>
      </c>
      <c r="J25" s="21"/>
      <c r="K25" s="44"/>
      <c r="L25" s="149" t="s">
        <v>1607</v>
      </c>
      <c r="M25" s="74" t="s">
        <v>175</v>
      </c>
      <c r="N25" s="44"/>
      <c r="O25" s="44"/>
      <c r="P25" s="74" t="s">
        <v>176</v>
      </c>
      <c r="Q25" s="44"/>
      <c r="R25" s="74"/>
      <c r="S25" s="74" t="s">
        <v>177</v>
      </c>
      <c r="T25" s="74" t="s">
        <v>178</v>
      </c>
      <c r="U25" s="44"/>
      <c r="V25" s="74"/>
      <c r="W25" s="74" t="s">
        <v>179</v>
      </c>
      <c r="X25" s="44"/>
      <c r="Y25" s="44"/>
      <c r="Z25" s="74"/>
      <c r="AA25" s="74"/>
      <c r="AB25" s="74"/>
      <c r="AC25" s="44"/>
      <c r="AD25" s="44"/>
      <c r="AE25" s="44"/>
      <c r="AF25" s="74"/>
      <c r="AG25" s="74"/>
      <c r="AH25" s="44"/>
      <c r="AI25" s="44"/>
      <c r="AJ25" s="74"/>
      <c r="AK25" s="74"/>
      <c r="AL25" s="44"/>
      <c r="AM25" s="74"/>
      <c r="AN25" s="74"/>
      <c r="AO25" s="74"/>
      <c r="AP25" s="44"/>
      <c r="AQ25" s="44"/>
      <c r="AR25" s="74"/>
      <c r="AS25" s="74"/>
      <c r="AT25" s="44"/>
      <c r="AU25" s="44"/>
      <c r="AV25" s="74"/>
      <c r="AW25" s="74"/>
      <c r="AX25" s="44"/>
      <c r="AY25" s="74"/>
      <c r="AZ25" s="74"/>
      <c r="BA25" s="44"/>
      <c r="BB25" s="74"/>
      <c r="BC25" s="44"/>
      <c r="BD25" s="44"/>
    </row>
    <row r="26" spans="1:56" s="137" customFormat="1" ht="409.5">
      <c r="A26" s="76">
        <v>24</v>
      </c>
      <c r="B26" s="31" t="s">
        <v>29</v>
      </c>
      <c r="C26" s="150" t="s">
        <v>75</v>
      </c>
      <c r="D26" s="151" t="s">
        <v>180</v>
      </c>
      <c r="E26" s="152" t="s">
        <v>181</v>
      </c>
      <c r="F26" s="153" t="s">
        <v>1608</v>
      </c>
      <c r="G26" s="154" t="s">
        <v>32</v>
      </c>
      <c r="H26" s="21" t="s">
        <v>33</v>
      </c>
      <c r="I26" s="130"/>
      <c r="J26" s="155"/>
      <c r="V26" s="156"/>
      <c r="AF26" s="156"/>
    </row>
    <row r="27" spans="1:56" s="770" customFormat="1" ht="104.25" customHeight="1">
      <c r="A27" s="15">
        <v>25</v>
      </c>
      <c r="B27" s="99" t="s">
        <v>29</v>
      </c>
      <c r="C27" s="157" t="s">
        <v>75</v>
      </c>
      <c r="D27" s="158" t="s">
        <v>182</v>
      </c>
      <c r="E27" s="159" t="s">
        <v>183</v>
      </c>
      <c r="F27" s="160" t="s">
        <v>184</v>
      </c>
      <c r="G27" s="161" t="s">
        <v>185</v>
      </c>
      <c r="H27" s="21" t="s">
        <v>33</v>
      </c>
      <c r="I27" s="798" t="s">
        <v>88</v>
      </c>
      <c r="J27" s="162"/>
      <c r="K27" s="24" t="s">
        <v>186</v>
      </c>
      <c r="L27" s="24" t="s">
        <v>187</v>
      </c>
      <c r="M27" s="25"/>
      <c r="N27" s="24"/>
      <c r="O27" s="24" t="s">
        <v>188</v>
      </c>
      <c r="P27" s="24" t="s">
        <v>188</v>
      </c>
      <c r="Q27" s="25"/>
      <c r="R27" s="24"/>
      <c r="S27" s="24" t="s">
        <v>189</v>
      </c>
      <c r="T27" s="24" t="s">
        <v>190</v>
      </c>
      <c r="U27" s="25"/>
      <c r="V27" s="24"/>
      <c r="W27" s="24"/>
      <c r="X27" s="24"/>
      <c r="Y27" s="25"/>
      <c r="Z27" s="24"/>
      <c r="AA27" s="163"/>
      <c r="AB27" s="24"/>
      <c r="AC27" s="25"/>
      <c r="AD27" s="25"/>
      <c r="AE27" s="28"/>
      <c r="AF27" s="24"/>
      <c r="AG27" s="24"/>
      <c r="AH27" s="24"/>
      <c r="AI27" s="25"/>
      <c r="AJ27" s="24"/>
      <c r="AK27" s="26"/>
      <c r="AL27" s="25"/>
      <c r="AM27" s="24"/>
      <c r="AN27" s="24"/>
      <c r="AO27" s="26"/>
      <c r="AP27" s="28"/>
      <c r="AQ27" s="25"/>
      <c r="AR27" s="24"/>
      <c r="AS27" s="24"/>
      <c r="AT27" s="28"/>
      <c r="AU27" s="28"/>
      <c r="AV27" s="24"/>
      <c r="AW27" s="24"/>
      <c r="AX27" s="25"/>
      <c r="AY27" s="24"/>
      <c r="AZ27" s="24"/>
      <c r="BA27" s="25"/>
      <c r="BB27" s="24"/>
      <c r="BC27" s="28"/>
      <c r="BD27" s="28"/>
    </row>
    <row r="28" spans="1:56" s="311" customFormat="1" ht="105" customHeight="1">
      <c r="A28" s="64">
        <v>26</v>
      </c>
      <c r="B28" s="164" t="s">
        <v>29</v>
      </c>
      <c r="C28" s="165" t="s">
        <v>75</v>
      </c>
      <c r="D28" s="166" t="s">
        <v>182</v>
      </c>
      <c r="E28" s="167" t="s">
        <v>191</v>
      </c>
      <c r="F28" s="168" t="s">
        <v>192</v>
      </c>
      <c r="G28" s="766" t="s">
        <v>185</v>
      </c>
      <c r="H28" s="21" t="s">
        <v>33</v>
      </c>
      <c r="I28" s="799"/>
      <c r="J28" s="169"/>
      <c r="K28" s="24"/>
      <c r="L28" s="24"/>
      <c r="M28" s="28"/>
      <c r="N28" s="24"/>
      <c r="O28" s="24" t="s">
        <v>193</v>
      </c>
      <c r="P28" s="24" t="s">
        <v>194</v>
      </c>
      <c r="Q28" s="24"/>
      <c r="R28" s="90"/>
      <c r="S28" s="90" t="s">
        <v>195</v>
      </c>
      <c r="T28" s="24" t="s">
        <v>195</v>
      </c>
      <c r="U28" s="25"/>
      <c r="V28" s="24"/>
      <c r="W28" s="24" t="s">
        <v>196</v>
      </c>
      <c r="X28" s="24"/>
      <c r="Y28" s="25"/>
      <c r="Z28" s="24"/>
      <c r="AA28" s="90"/>
      <c r="AB28" s="26"/>
      <c r="AC28" s="25"/>
      <c r="AD28" s="24"/>
      <c r="AE28" s="28"/>
      <c r="AF28" s="26"/>
      <c r="AG28" s="24"/>
      <c r="AH28" s="24"/>
      <c r="AI28" s="25"/>
      <c r="AJ28" s="24"/>
      <c r="AK28" s="63"/>
      <c r="AL28" s="25"/>
      <c r="AM28" s="24"/>
      <c r="AN28" s="24"/>
      <c r="AO28" s="63"/>
      <c r="AP28" s="25"/>
      <c r="AQ28" s="25"/>
      <c r="AR28" s="24"/>
      <c r="AS28" s="25"/>
      <c r="AT28" s="28"/>
      <c r="AU28" s="28"/>
      <c r="AV28" s="24"/>
      <c r="AW28" s="25"/>
      <c r="AX28" s="25"/>
      <c r="AY28" s="24"/>
      <c r="AZ28" s="24"/>
      <c r="BA28" s="25"/>
      <c r="BB28" s="24"/>
      <c r="BC28" s="28"/>
      <c r="BD28" s="28"/>
    </row>
    <row r="29" spans="1:56" s="311" customFormat="1" ht="93" customHeight="1">
      <c r="A29" s="170">
        <v>27</v>
      </c>
      <c r="B29" s="164" t="s">
        <v>29</v>
      </c>
      <c r="C29" s="165" t="s">
        <v>75</v>
      </c>
      <c r="D29" s="166" t="s">
        <v>182</v>
      </c>
      <c r="E29" s="167" t="s">
        <v>197</v>
      </c>
      <c r="F29" s="168" t="s">
        <v>198</v>
      </c>
      <c r="G29" s="766" t="s">
        <v>185</v>
      </c>
      <c r="H29" s="21" t="s">
        <v>33</v>
      </c>
      <c r="I29" s="799"/>
      <c r="J29" s="169"/>
      <c r="K29" s="24"/>
      <c r="L29" s="24"/>
      <c r="M29" s="28"/>
      <c r="N29" s="24"/>
      <c r="O29" s="24"/>
      <c r="P29" s="24"/>
      <c r="Q29" s="24"/>
      <c r="R29" s="90"/>
      <c r="S29" s="90" t="s">
        <v>199</v>
      </c>
      <c r="T29" s="24"/>
      <c r="U29" s="24" t="s">
        <v>200</v>
      </c>
      <c r="V29" s="24"/>
      <c r="W29" s="26" t="s">
        <v>1609</v>
      </c>
      <c r="X29" s="24"/>
      <c r="Y29" s="25"/>
      <c r="Z29" s="24"/>
      <c r="AA29" s="90"/>
      <c r="AB29" s="26"/>
      <c r="AC29" s="25"/>
      <c r="AD29" s="24"/>
      <c r="AE29" s="28"/>
      <c r="AF29" s="26"/>
      <c r="AG29" s="24"/>
      <c r="AH29" s="24"/>
      <c r="AI29" s="25"/>
      <c r="AJ29" s="24"/>
      <c r="AK29" s="63"/>
      <c r="AL29" s="25"/>
      <c r="AM29" s="24"/>
      <c r="AN29" s="24"/>
      <c r="AO29" s="63"/>
      <c r="AP29" s="25"/>
      <c r="AQ29" s="25"/>
      <c r="AR29" s="24"/>
      <c r="AS29" s="25"/>
      <c r="AT29" s="28"/>
      <c r="AU29" s="28"/>
      <c r="AV29" s="24"/>
      <c r="AW29" s="25"/>
      <c r="AX29" s="25"/>
      <c r="AY29" s="24"/>
      <c r="AZ29" s="24"/>
      <c r="BA29" s="25"/>
      <c r="BB29" s="24"/>
      <c r="BC29" s="28"/>
      <c r="BD29" s="28"/>
    </row>
    <row r="30" spans="1:56" s="311" customFormat="1" ht="128.25" customHeight="1">
      <c r="A30" s="78">
        <v>28</v>
      </c>
      <c r="B30" s="46" t="s">
        <v>29</v>
      </c>
      <c r="C30" s="150" t="s">
        <v>75</v>
      </c>
      <c r="D30" s="171" t="s">
        <v>182</v>
      </c>
      <c r="E30" s="167" t="s">
        <v>201</v>
      </c>
      <c r="F30" s="168" t="s">
        <v>202</v>
      </c>
      <c r="G30" s="767" t="s">
        <v>185</v>
      </c>
      <c r="H30" s="21" t="s">
        <v>33</v>
      </c>
      <c r="I30" s="800"/>
      <c r="J30" s="169"/>
      <c r="K30" s="24"/>
      <c r="L30" s="24"/>
      <c r="M30" s="28"/>
      <c r="N30" s="24"/>
      <c r="O30" s="24" t="s">
        <v>203</v>
      </c>
      <c r="P30" s="26" t="s">
        <v>1610</v>
      </c>
      <c r="Q30" s="24"/>
      <c r="R30" s="90"/>
      <c r="S30" s="90" t="s">
        <v>204</v>
      </c>
      <c r="T30" s="24" t="s">
        <v>205</v>
      </c>
      <c r="U30" s="25"/>
      <c r="V30" s="24"/>
      <c r="W30" s="24" t="s">
        <v>206</v>
      </c>
      <c r="X30" s="24"/>
      <c r="Y30" s="25"/>
      <c r="Z30" s="24"/>
      <c r="AA30" s="90"/>
      <c r="AB30" s="26"/>
      <c r="AC30" s="25"/>
      <c r="AD30" s="24"/>
      <c r="AE30" s="28"/>
      <c r="AF30" s="26"/>
      <c r="AG30" s="24"/>
      <c r="AH30" s="24"/>
      <c r="AI30" s="25"/>
      <c r="AJ30" s="24"/>
      <c r="AK30" s="63"/>
      <c r="AL30" s="25"/>
      <c r="AM30" s="24"/>
      <c r="AN30" s="24"/>
      <c r="AO30" s="63"/>
      <c r="AP30" s="25"/>
      <c r="AQ30" s="25"/>
      <c r="AR30" s="24"/>
      <c r="AS30" s="25"/>
      <c r="AT30" s="28"/>
      <c r="AU30" s="28"/>
      <c r="AV30" s="24"/>
      <c r="AW30" s="25"/>
      <c r="AX30" s="25"/>
      <c r="AY30" s="24"/>
      <c r="AZ30" s="24"/>
      <c r="BA30" s="25"/>
      <c r="BB30" s="24"/>
      <c r="BC30" s="28"/>
      <c r="BD30" s="28"/>
    </row>
    <row r="31" spans="1:56" s="311" customFormat="1" ht="158.25" customHeight="1">
      <c r="A31" s="30">
        <v>29</v>
      </c>
      <c r="B31" s="164" t="s">
        <v>29</v>
      </c>
      <c r="C31" s="172" t="s">
        <v>75</v>
      </c>
      <c r="D31" s="173" t="s">
        <v>207</v>
      </c>
      <c r="E31" s="174" t="s">
        <v>208</v>
      </c>
      <c r="F31" s="175" t="s">
        <v>1611</v>
      </c>
      <c r="G31" s="161" t="s">
        <v>209</v>
      </c>
      <c r="H31" s="21" t="s">
        <v>33</v>
      </c>
      <c r="I31" s="801" t="s">
        <v>88</v>
      </c>
      <c r="J31" s="176"/>
      <c r="K31" s="24"/>
      <c r="L31" s="24"/>
      <c r="M31" s="28"/>
      <c r="N31" s="24"/>
      <c r="O31" s="24" t="s">
        <v>210</v>
      </c>
      <c r="P31" s="24" t="s">
        <v>211</v>
      </c>
      <c r="Q31" s="24"/>
      <c r="R31" s="90"/>
      <c r="S31" s="90" t="s">
        <v>212</v>
      </c>
      <c r="T31" s="24" t="s">
        <v>213</v>
      </c>
      <c r="U31" s="25"/>
      <c r="V31" s="24"/>
      <c r="W31" s="24" t="s">
        <v>214</v>
      </c>
      <c r="X31" s="24"/>
      <c r="Y31" s="25"/>
      <c r="Z31" s="24"/>
      <c r="AA31" s="90"/>
      <c r="AB31" s="26"/>
      <c r="AC31" s="25"/>
      <c r="AD31" s="24"/>
      <c r="AE31" s="28"/>
      <c r="AF31" s="26"/>
      <c r="AG31" s="24"/>
      <c r="AH31" s="24"/>
      <c r="AI31" s="25"/>
      <c r="AJ31" s="24"/>
      <c r="AK31" s="63"/>
      <c r="AL31" s="25"/>
      <c r="AM31" s="24"/>
      <c r="AN31" s="24"/>
      <c r="AO31" s="63"/>
      <c r="AP31" s="25"/>
      <c r="AQ31" s="25"/>
      <c r="AR31" s="24"/>
      <c r="AS31" s="25"/>
      <c r="AT31" s="28"/>
      <c r="AU31" s="28"/>
      <c r="AV31" s="24"/>
      <c r="AW31" s="25"/>
      <c r="AX31" s="25"/>
      <c r="AY31" s="24"/>
      <c r="AZ31" s="24"/>
      <c r="BA31" s="25"/>
      <c r="BB31" s="24"/>
      <c r="BC31" s="28"/>
      <c r="BD31" s="28"/>
    </row>
    <row r="32" spans="1:56" s="311" customFormat="1" ht="58.5" customHeight="1">
      <c r="A32" s="78">
        <v>30</v>
      </c>
      <c r="B32" s="164" t="s">
        <v>29</v>
      </c>
      <c r="C32" s="177" t="s">
        <v>75</v>
      </c>
      <c r="D32" s="173" t="s">
        <v>207</v>
      </c>
      <c r="E32" s="178" t="s">
        <v>215</v>
      </c>
      <c r="F32" s="174" t="s">
        <v>1612</v>
      </c>
      <c r="G32" s="161" t="s">
        <v>209</v>
      </c>
      <c r="H32" s="21" t="s">
        <v>33</v>
      </c>
      <c r="I32" s="799"/>
      <c r="J32" s="169"/>
      <c r="K32" s="92"/>
      <c r="L32" s="92"/>
      <c r="M32" s="28"/>
      <c r="N32" s="92"/>
      <c r="O32" s="92" t="s">
        <v>216</v>
      </c>
      <c r="P32" s="92" t="s">
        <v>217</v>
      </c>
      <c r="Q32" s="92"/>
      <c r="R32" s="92"/>
      <c r="S32" s="92" t="s">
        <v>218</v>
      </c>
      <c r="T32" s="92" t="s">
        <v>218</v>
      </c>
      <c r="U32" s="92" t="s">
        <v>200</v>
      </c>
      <c r="V32" s="92"/>
      <c r="W32" s="92" t="s">
        <v>219</v>
      </c>
      <c r="X32" s="92"/>
      <c r="Y32" s="28"/>
      <c r="Z32" s="92"/>
      <c r="AA32" s="92"/>
      <c r="AB32" s="88"/>
      <c r="AC32" s="28"/>
      <c r="AD32" s="92"/>
      <c r="AE32" s="28"/>
      <c r="AF32" s="88"/>
      <c r="AG32" s="88"/>
      <c r="AH32" s="28"/>
      <c r="AI32" s="28"/>
      <c r="AJ32" s="92"/>
      <c r="AK32" s="88"/>
      <c r="AL32" s="28"/>
      <c r="AM32" s="92"/>
      <c r="AN32" s="92"/>
      <c r="AO32" s="88"/>
      <c r="AP32" s="28"/>
      <c r="AQ32" s="28"/>
      <c r="AR32" s="92"/>
      <c r="AS32" s="92"/>
      <c r="AT32" s="28"/>
      <c r="AU32" s="28"/>
      <c r="AV32" s="92"/>
      <c r="AW32" s="92"/>
      <c r="AX32" s="28"/>
      <c r="AY32" s="92"/>
      <c r="AZ32" s="92"/>
      <c r="BA32" s="28"/>
      <c r="BB32" s="92"/>
      <c r="BC32" s="28"/>
      <c r="BD32" s="28"/>
    </row>
    <row r="33" spans="1:56" s="311" customFormat="1" ht="30" customHeight="1">
      <c r="A33" s="78">
        <v>31</v>
      </c>
      <c r="B33" s="164" t="s">
        <v>29</v>
      </c>
      <c r="C33" s="177" t="s">
        <v>75</v>
      </c>
      <c r="D33" s="173" t="s">
        <v>207</v>
      </c>
      <c r="E33" s="178" t="s">
        <v>220</v>
      </c>
      <c r="F33" s="174" t="s">
        <v>1613</v>
      </c>
      <c r="G33" s="161" t="s">
        <v>209</v>
      </c>
      <c r="H33" s="21" t="s">
        <v>33</v>
      </c>
      <c r="I33" s="799"/>
      <c r="J33" s="169"/>
      <c r="K33" s="92"/>
      <c r="L33" s="92"/>
      <c r="M33" s="28"/>
      <c r="N33" s="92"/>
      <c r="O33" s="92" t="s">
        <v>221</v>
      </c>
      <c r="P33" s="92" t="s">
        <v>222</v>
      </c>
      <c r="Q33" s="92"/>
      <c r="R33" s="92"/>
      <c r="S33" s="92" t="s">
        <v>223</v>
      </c>
      <c r="T33" s="92" t="s">
        <v>224</v>
      </c>
      <c r="U33" s="28"/>
      <c r="V33" s="92"/>
      <c r="W33" s="92" t="s">
        <v>225</v>
      </c>
      <c r="X33" s="92"/>
      <c r="Y33" s="28"/>
      <c r="Z33" s="92"/>
      <c r="AA33" s="92"/>
      <c r="AB33" s="88"/>
      <c r="AC33" s="28"/>
      <c r="AD33" s="92"/>
      <c r="AE33" s="28"/>
      <c r="AF33" s="88"/>
      <c r="AG33" s="88"/>
      <c r="AH33" s="28"/>
      <c r="AI33" s="28"/>
      <c r="AJ33" s="92"/>
      <c r="AK33" s="88"/>
      <c r="AL33" s="28"/>
      <c r="AM33" s="92"/>
      <c r="AN33" s="92"/>
      <c r="AO33" s="88"/>
      <c r="AP33" s="28"/>
      <c r="AQ33" s="28"/>
      <c r="AR33" s="92"/>
      <c r="AS33" s="92"/>
      <c r="AT33" s="28"/>
      <c r="AU33" s="28"/>
      <c r="AV33" s="92"/>
      <c r="AW33" s="92"/>
      <c r="AX33" s="28"/>
      <c r="AY33" s="92"/>
      <c r="AZ33" s="92"/>
      <c r="BA33" s="28"/>
      <c r="BB33" s="92"/>
      <c r="BC33" s="28"/>
      <c r="BD33" s="28"/>
    </row>
    <row r="34" spans="1:56" s="311" customFormat="1" ht="165" customHeight="1">
      <c r="A34" s="64">
        <v>32</v>
      </c>
      <c r="B34" s="164" t="s">
        <v>29</v>
      </c>
      <c r="C34" s="177" t="s">
        <v>75</v>
      </c>
      <c r="D34" s="173" t="s">
        <v>207</v>
      </c>
      <c r="E34" s="178" t="s">
        <v>226</v>
      </c>
      <c r="F34" s="174" t="s">
        <v>1614</v>
      </c>
      <c r="G34" s="161" t="s">
        <v>209</v>
      </c>
      <c r="H34" s="21" t="s">
        <v>33</v>
      </c>
      <c r="I34" s="799"/>
      <c r="J34" s="169"/>
      <c r="K34" s="92" t="s">
        <v>227</v>
      </c>
      <c r="L34" s="92" t="s">
        <v>227</v>
      </c>
      <c r="M34" s="28"/>
      <c r="N34" s="92"/>
      <c r="O34" s="92" t="s">
        <v>228</v>
      </c>
      <c r="P34" s="92" t="s">
        <v>229</v>
      </c>
      <c r="Q34" s="92"/>
      <c r="R34" s="92"/>
      <c r="S34" s="92"/>
      <c r="T34" s="92" t="s">
        <v>230</v>
      </c>
      <c r="U34" s="28"/>
      <c r="V34" s="92"/>
      <c r="W34" s="92" t="s">
        <v>231</v>
      </c>
      <c r="X34" s="92"/>
      <c r="Y34" s="28"/>
      <c r="Z34" s="92"/>
      <c r="AA34" s="92"/>
      <c r="AB34" s="88"/>
      <c r="AC34" s="28"/>
      <c r="AD34" s="92"/>
      <c r="AE34" s="28"/>
      <c r="AF34" s="88"/>
      <c r="AG34" s="88"/>
      <c r="AH34" s="28"/>
      <c r="AI34" s="28"/>
      <c r="AJ34" s="92"/>
      <c r="AK34" s="88"/>
      <c r="AL34" s="28"/>
      <c r="AM34" s="92"/>
      <c r="AN34" s="92"/>
      <c r="AO34" s="88"/>
      <c r="AP34" s="28"/>
      <c r="AQ34" s="28"/>
      <c r="AR34" s="92"/>
      <c r="AS34" s="92"/>
      <c r="AT34" s="28"/>
      <c r="AU34" s="28"/>
      <c r="AV34" s="92"/>
      <c r="AW34" s="92"/>
      <c r="AX34" s="28"/>
      <c r="AY34" s="92"/>
      <c r="AZ34" s="92"/>
      <c r="BA34" s="28"/>
      <c r="BB34" s="92"/>
      <c r="BC34" s="28"/>
      <c r="BD34" s="28"/>
    </row>
    <row r="35" spans="1:56" s="311" customFormat="1" ht="136.5" customHeight="1">
      <c r="A35" s="170">
        <v>33</v>
      </c>
      <c r="B35" s="164" t="s">
        <v>29</v>
      </c>
      <c r="C35" s="177" t="s">
        <v>75</v>
      </c>
      <c r="D35" s="173" t="s">
        <v>207</v>
      </c>
      <c r="E35" s="178" t="s">
        <v>232</v>
      </c>
      <c r="F35" s="174" t="s">
        <v>1615</v>
      </c>
      <c r="G35" s="161" t="s">
        <v>209</v>
      </c>
      <c r="H35" s="21" t="s">
        <v>33</v>
      </c>
      <c r="I35" s="799"/>
      <c r="J35" s="169"/>
      <c r="K35" s="92"/>
      <c r="L35" s="92"/>
      <c r="M35" s="28"/>
      <c r="N35" s="92"/>
      <c r="O35" s="92" t="s">
        <v>233</v>
      </c>
      <c r="P35" s="92" t="s">
        <v>234</v>
      </c>
      <c r="Q35" s="92"/>
      <c r="R35" s="92"/>
      <c r="S35" s="92" t="s">
        <v>235</v>
      </c>
      <c r="T35" s="92" t="s">
        <v>236</v>
      </c>
      <c r="U35" s="28"/>
      <c r="V35" s="92"/>
      <c r="W35" s="92" t="s">
        <v>237</v>
      </c>
      <c r="X35" s="92"/>
      <c r="Y35" s="28"/>
      <c r="Z35" s="92"/>
      <c r="AA35" s="92"/>
      <c r="AB35" s="88"/>
      <c r="AC35" s="28"/>
      <c r="AD35" s="92"/>
      <c r="AE35" s="28"/>
      <c r="AF35" s="88"/>
      <c r="AG35" s="88"/>
      <c r="AH35" s="28"/>
      <c r="AI35" s="28"/>
      <c r="AJ35" s="92"/>
      <c r="AK35" s="88"/>
      <c r="AL35" s="28"/>
      <c r="AM35" s="92"/>
      <c r="AN35" s="92"/>
      <c r="AO35" s="88"/>
      <c r="AP35" s="28"/>
      <c r="AQ35" s="28"/>
      <c r="AR35" s="92"/>
      <c r="AS35" s="92"/>
      <c r="AT35" s="28"/>
      <c r="AU35" s="28"/>
      <c r="AV35" s="92"/>
      <c r="AW35" s="92"/>
      <c r="AX35" s="28"/>
      <c r="AY35" s="92"/>
      <c r="AZ35" s="92"/>
      <c r="BA35" s="28"/>
      <c r="BB35" s="92"/>
      <c r="BC35" s="28"/>
      <c r="BD35" s="28"/>
    </row>
    <row r="36" spans="1:56" s="311" customFormat="1" ht="108.75" customHeight="1">
      <c r="A36" s="78">
        <v>34</v>
      </c>
      <c r="B36" s="164" t="s">
        <v>29</v>
      </c>
      <c r="C36" s="177" t="s">
        <v>75</v>
      </c>
      <c r="D36" s="173" t="s">
        <v>207</v>
      </c>
      <c r="E36" s="178" t="s">
        <v>238</v>
      </c>
      <c r="F36" s="174" t="s">
        <v>1616</v>
      </c>
      <c r="G36" s="161" t="s">
        <v>209</v>
      </c>
      <c r="H36" s="21" t="s">
        <v>33</v>
      </c>
      <c r="I36" s="799"/>
      <c r="J36" s="169"/>
      <c r="K36" s="92" t="s">
        <v>239</v>
      </c>
      <c r="L36" s="92" t="s">
        <v>240</v>
      </c>
      <c r="M36" s="28"/>
      <c r="N36" s="92"/>
      <c r="O36" s="92" t="s">
        <v>241</v>
      </c>
      <c r="P36" s="92" t="s">
        <v>242</v>
      </c>
      <c r="Q36" s="92"/>
      <c r="R36" s="92"/>
      <c r="S36" s="92"/>
      <c r="T36" s="92" t="s">
        <v>243</v>
      </c>
      <c r="U36" s="92" t="s">
        <v>244</v>
      </c>
      <c r="V36" s="92"/>
      <c r="W36" s="92" t="s">
        <v>245</v>
      </c>
      <c r="X36" s="92"/>
      <c r="Y36" s="28"/>
      <c r="Z36" s="92"/>
      <c r="AA36" s="92"/>
      <c r="AB36" s="88"/>
      <c r="AC36" s="28"/>
      <c r="AD36" s="92"/>
      <c r="AE36" s="28"/>
      <c r="AF36" s="88"/>
      <c r="AG36" s="88"/>
      <c r="AH36" s="28"/>
      <c r="AI36" s="28"/>
      <c r="AJ36" s="92"/>
      <c r="AK36" s="88"/>
      <c r="AL36" s="28"/>
      <c r="AM36" s="92"/>
      <c r="AN36" s="92"/>
      <c r="AO36" s="88"/>
      <c r="AP36" s="28"/>
      <c r="AQ36" s="28"/>
      <c r="AR36" s="92"/>
      <c r="AS36" s="92"/>
      <c r="AT36" s="28"/>
      <c r="AU36" s="28"/>
      <c r="AV36" s="92"/>
      <c r="AW36" s="92"/>
      <c r="AX36" s="28"/>
      <c r="AY36" s="92"/>
      <c r="AZ36" s="92"/>
      <c r="BA36" s="28"/>
      <c r="BB36" s="92"/>
      <c r="BC36" s="28"/>
      <c r="BD36" s="28"/>
    </row>
    <row r="37" spans="1:56" s="311" customFormat="1" ht="30" customHeight="1">
      <c r="A37" s="64">
        <v>35</v>
      </c>
      <c r="B37" s="164" t="s">
        <v>29</v>
      </c>
      <c r="C37" s="179"/>
      <c r="D37" s="173" t="s">
        <v>207</v>
      </c>
      <c r="E37" s="178" t="s">
        <v>246</v>
      </c>
      <c r="F37" s="174" t="s">
        <v>1617</v>
      </c>
      <c r="G37" s="161" t="s">
        <v>209</v>
      </c>
      <c r="H37" s="21" t="s">
        <v>33</v>
      </c>
      <c r="I37" s="799"/>
      <c r="J37" s="169"/>
      <c r="K37" s="92"/>
      <c r="L37" s="92"/>
      <c r="M37" s="28"/>
      <c r="N37" s="92"/>
      <c r="O37" s="92"/>
      <c r="P37" s="92"/>
      <c r="Q37" s="92"/>
      <c r="R37" s="92"/>
      <c r="S37" s="92"/>
      <c r="T37" s="92" t="s">
        <v>247</v>
      </c>
      <c r="U37" s="28"/>
      <c r="V37" s="92"/>
      <c r="W37" s="92" t="s">
        <v>247</v>
      </c>
      <c r="X37" s="92"/>
      <c r="Y37" s="28"/>
      <c r="Z37" s="92"/>
      <c r="AA37" s="92"/>
      <c r="AB37" s="88"/>
      <c r="AC37" s="28"/>
      <c r="AD37" s="92"/>
      <c r="AE37" s="28"/>
      <c r="AF37" s="88"/>
      <c r="AG37" s="88"/>
      <c r="AH37" s="28"/>
      <c r="AI37" s="28"/>
      <c r="AJ37" s="92"/>
      <c r="AK37" s="88"/>
      <c r="AL37" s="28"/>
      <c r="AM37" s="92"/>
      <c r="AN37" s="92"/>
      <c r="AO37" s="88"/>
      <c r="AP37" s="28"/>
      <c r="AQ37" s="28"/>
      <c r="AR37" s="92"/>
      <c r="AS37" s="92"/>
      <c r="AT37" s="28"/>
      <c r="AU37" s="28"/>
      <c r="AV37" s="92"/>
      <c r="AW37" s="92"/>
      <c r="AX37" s="28"/>
      <c r="AY37" s="92"/>
      <c r="AZ37" s="92"/>
      <c r="BA37" s="28"/>
      <c r="BB37" s="92"/>
      <c r="BC37" s="28"/>
      <c r="BD37" s="28"/>
    </row>
    <row r="38" spans="1:56" s="311" customFormat="1">
      <c r="A38" s="170">
        <v>36</v>
      </c>
      <c r="B38" s="164" t="s">
        <v>29</v>
      </c>
      <c r="C38" s="179"/>
      <c r="D38" s="173" t="s">
        <v>207</v>
      </c>
      <c r="E38" s="178" t="s">
        <v>248</v>
      </c>
      <c r="F38" s="174" t="s">
        <v>1618</v>
      </c>
      <c r="G38" s="161" t="s">
        <v>209</v>
      </c>
      <c r="H38" s="21" t="s">
        <v>33</v>
      </c>
      <c r="I38" s="799"/>
      <c r="J38" s="169"/>
      <c r="K38" s="92"/>
      <c r="L38" s="92"/>
      <c r="M38" s="28"/>
      <c r="N38" s="92"/>
      <c r="O38" s="92"/>
      <c r="P38" s="92"/>
      <c r="Q38" s="92"/>
      <c r="R38" s="92"/>
      <c r="S38" s="92"/>
      <c r="T38" s="92" t="s">
        <v>247</v>
      </c>
      <c r="U38" s="28"/>
      <c r="V38" s="92"/>
      <c r="W38" s="92" t="s">
        <v>247</v>
      </c>
      <c r="X38" s="92"/>
      <c r="Y38" s="28"/>
      <c r="Z38" s="92"/>
      <c r="AA38" s="92"/>
      <c r="AB38" s="88"/>
      <c r="AC38" s="28"/>
      <c r="AD38" s="92"/>
      <c r="AE38" s="28"/>
      <c r="AF38" s="88"/>
      <c r="AG38" s="88"/>
      <c r="AH38" s="28"/>
      <c r="AI38" s="28"/>
      <c r="AJ38" s="92"/>
      <c r="AK38" s="88"/>
      <c r="AL38" s="28"/>
      <c r="AM38" s="92"/>
      <c r="AN38" s="92"/>
      <c r="AO38" s="88"/>
      <c r="AP38" s="28"/>
      <c r="AQ38" s="28"/>
      <c r="AR38" s="92"/>
      <c r="AS38" s="92"/>
      <c r="AT38" s="28"/>
      <c r="AU38" s="28"/>
      <c r="AV38" s="92"/>
      <c r="AW38" s="92"/>
      <c r="AX38" s="28"/>
      <c r="AY38" s="92"/>
      <c r="AZ38" s="92"/>
      <c r="BA38" s="28"/>
      <c r="BB38" s="92"/>
      <c r="BC38" s="28"/>
      <c r="BD38" s="28"/>
    </row>
    <row r="39" spans="1:56" s="311" customFormat="1">
      <c r="A39" s="78">
        <v>37</v>
      </c>
      <c r="B39" s="164" t="s">
        <v>29</v>
      </c>
      <c r="C39" s="179"/>
      <c r="D39" s="173" t="s">
        <v>207</v>
      </c>
      <c r="E39" s="178" t="s">
        <v>249</v>
      </c>
      <c r="F39" s="174" t="s">
        <v>1619</v>
      </c>
      <c r="G39" s="161" t="s">
        <v>209</v>
      </c>
      <c r="H39" s="21" t="s">
        <v>33</v>
      </c>
      <c r="I39" s="799"/>
      <c r="J39" s="169"/>
      <c r="K39" s="92"/>
      <c r="L39" s="92"/>
      <c r="M39" s="28"/>
      <c r="N39" s="92"/>
      <c r="O39" s="92"/>
      <c r="P39" s="92"/>
      <c r="Q39" s="92"/>
      <c r="R39" s="92"/>
      <c r="S39" s="92"/>
      <c r="T39" s="92" t="s">
        <v>247</v>
      </c>
      <c r="U39" s="28"/>
      <c r="V39" s="92"/>
      <c r="W39" s="92" t="s">
        <v>247</v>
      </c>
      <c r="X39" s="92"/>
      <c r="Y39" s="28"/>
      <c r="Z39" s="92"/>
      <c r="AA39" s="92"/>
      <c r="AB39" s="88"/>
      <c r="AC39" s="28"/>
      <c r="AD39" s="92"/>
      <c r="AE39" s="28"/>
      <c r="AF39" s="88"/>
      <c r="AG39" s="88"/>
      <c r="AH39" s="28"/>
      <c r="AI39" s="28"/>
      <c r="AJ39" s="92"/>
      <c r="AK39" s="88"/>
      <c r="AL39" s="28"/>
      <c r="AM39" s="92"/>
      <c r="AN39" s="92"/>
      <c r="AO39" s="88"/>
      <c r="AP39" s="28"/>
      <c r="AQ39" s="28"/>
      <c r="AR39" s="92"/>
      <c r="AS39" s="92"/>
      <c r="AT39" s="28"/>
      <c r="AU39" s="28"/>
      <c r="AV39" s="92"/>
      <c r="AW39" s="92"/>
      <c r="AX39" s="28"/>
      <c r="AY39" s="92"/>
      <c r="AZ39" s="92"/>
      <c r="BA39" s="28"/>
      <c r="BB39" s="92"/>
      <c r="BC39" s="28"/>
      <c r="BD39" s="28"/>
    </row>
    <row r="40" spans="1:56" s="311" customFormat="1">
      <c r="A40" s="64">
        <v>38</v>
      </c>
      <c r="B40" s="164" t="s">
        <v>29</v>
      </c>
      <c r="C40" s="179"/>
      <c r="D40" s="173" t="s">
        <v>207</v>
      </c>
      <c r="E40" s="178" t="s">
        <v>250</v>
      </c>
      <c r="F40" s="174" t="s">
        <v>1620</v>
      </c>
      <c r="G40" s="161" t="s">
        <v>209</v>
      </c>
      <c r="H40" s="21" t="s">
        <v>33</v>
      </c>
      <c r="I40" s="799"/>
      <c r="J40" s="169"/>
      <c r="K40" s="92"/>
      <c r="L40" s="92"/>
      <c r="M40" s="28"/>
      <c r="N40" s="92"/>
      <c r="O40" s="92"/>
      <c r="P40" s="92"/>
      <c r="Q40" s="92"/>
      <c r="R40" s="92"/>
      <c r="S40" s="92"/>
      <c r="T40" s="92" t="s">
        <v>247</v>
      </c>
      <c r="U40" s="28"/>
      <c r="V40" s="92"/>
      <c r="W40" s="92" t="s">
        <v>247</v>
      </c>
      <c r="X40" s="92"/>
      <c r="Y40" s="28"/>
      <c r="Z40" s="92"/>
      <c r="AA40" s="92"/>
      <c r="AB40" s="88"/>
      <c r="AC40" s="28"/>
      <c r="AD40" s="92"/>
      <c r="AE40" s="28"/>
      <c r="AF40" s="88"/>
      <c r="AG40" s="88"/>
      <c r="AH40" s="28"/>
      <c r="AI40" s="28"/>
      <c r="AJ40" s="92"/>
      <c r="AK40" s="88"/>
      <c r="AL40" s="28"/>
      <c r="AM40" s="92"/>
      <c r="AN40" s="92"/>
      <c r="AO40" s="88"/>
      <c r="AP40" s="28"/>
      <c r="AQ40" s="28"/>
      <c r="AR40" s="92"/>
      <c r="AS40" s="92"/>
      <c r="AT40" s="28"/>
      <c r="AU40" s="28"/>
      <c r="AV40" s="92"/>
      <c r="AW40" s="92"/>
      <c r="AX40" s="28"/>
      <c r="AY40" s="92"/>
      <c r="AZ40" s="92"/>
      <c r="BA40" s="28"/>
      <c r="BB40" s="92"/>
      <c r="BC40" s="28"/>
      <c r="BD40" s="28"/>
    </row>
    <row r="41" spans="1:56" s="311" customFormat="1">
      <c r="A41" s="170">
        <v>39</v>
      </c>
      <c r="B41" s="164" t="s">
        <v>29</v>
      </c>
      <c r="C41" s="179"/>
      <c r="D41" s="180" t="s">
        <v>207</v>
      </c>
      <c r="E41" s="181" t="s">
        <v>251</v>
      </c>
      <c r="F41" s="174" t="s">
        <v>1621</v>
      </c>
      <c r="G41" s="161" t="s">
        <v>209</v>
      </c>
      <c r="H41" s="21" t="s">
        <v>33</v>
      </c>
      <c r="I41" s="799"/>
      <c r="J41" s="169"/>
      <c r="K41" s="92"/>
      <c r="L41" s="92"/>
      <c r="M41" s="28"/>
      <c r="N41" s="92"/>
      <c r="O41" s="92"/>
      <c r="P41" s="92"/>
      <c r="Q41" s="92"/>
      <c r="R41" s="92"/>
      <c r="S41" s="92"/>
      <c r="T41" s="92" t="s">
        <v>247</v>
      </c>
      <c r="U41" s="28"/>
      <c r="V41" s="92"/>
      <c r="W41" s="92" t="s">
        <v>247</v>
      </c>
      <c r="X41" s="92"/>
      <c r="Y41" s="28"/>
      <c r="Z41" s="92"/>
      <c r="AA41" s="92"/>
      <c r="AB41" s="88"/>
      <c r="AC41" s="28"/>
      <c r="AD41" s="92"/>
      <c r="AE41" s="28"/>
      <c r="AF41" s="88"/>
      <c r="AG41" s="88"/>
      <c r="AH41" s="28"/>
      <c r="AI41" s="28"/>
      <c r="AJ41" s="92"/>
      <c r="AK41" s="88"/>
      <c r="AL41" s="28"/>
      <c r="AM41" s="92"/>
      <c r="AN41" s="92"/>
      <c r="AO41" s="88"/>
      <c r="AP41" s="28"/>
      <c r="AQ41" s="28"/>
      <c r="AR41" s="92"/>
      <c r="AS41" s="92"/>
      <c r="AT41" s="28"/>
      <c r="AU41" s="28"/>
      <c r="AV41" s="92"/>
      <c r="AW41" s="92"/>
      <c r="AX41" s="28"/>
      <c r="AY41" s="92"/>
      <c r="AZ41" s="92"/>
      <c r="BA41" s="28"/>
      <c r="BB41" s="92"/>
      <c r="BC41" s="28"/>
      <c r="BD41" s="28"/>
    </row>
    <row r="42" spans="1:56" s="311" customFormat="1" ht="87" customHeight="1">
      <c r="A42" s="78">
        <v>40</v>
      </c>
      <c r="B42" s="164" t="s">
        <v>29</v>
      </c>
      <c r="C42" s="179"/>
      <c r="D42" s="174" t="s">
        <v>252</v>
      </c>
      <c r="E42" s="178" t="s">
        <v>253</v>
      </c>
      <c r="F42" s="174" t="s">
        <v>1622</v>
      </c>
      <c r="G42" s="161" t="s">
        <v>209</v>
      </c>
      <c r="H42" s="21" t="s">
        <v>33</v>
      </c>
      <c r="I42" s="799"/>
      <c r="J42" s="169"/>
      <c r="K42" s="92"/>
      <c r="L42" s="92"/>
      <c r="M42" s="28"/>
      <c r="N42" s="92"/>
      <c r="O42" s="92" t="s">
        <v>254</v>
      </c>
      <c r="P42" s="92" t="s">
        <v>255</v>
      </c>
      <c r="Q42" s="92"/>
      <c r="R42" s="92"/>
      <c r="S42" s="92"/>
      <c r="T42" s="92"/>
      <c r="U42" s="28"/>
      <c r="V42" s="92"/>
      <c r="W42" s="92" t="s">
        <v>256</v>
      </c>
      <c r="X42" s="92"/>
      <c r="Y42" s="28"/>
      <c r="Z42" s="92"/>
      <c r="AA42" s="92"/>
      <c r="AB42" s="88"/>
      <c r="AC42" s="28"/>
      <c r="AD42" s="92"/>
      <c r="AE42" s="28"/>
      <c r="AF42" s="88"/>
      <c r="AG42" s="88"/>
      <c r="AH42" s="28"/>
      <c r="AI42" s="28"/>
      <c r="AJ42" s="92"/>
      <c r="AK42" s="88"/>
      <c r="AL42" s="28"/>
      <c r="AM42" s="92"/>
      <c r="AN42" s="92"/>
      <c r="AO42" s="88"/>
      <c r="AP42" s="28"/>
      <c r="AQ42" s="28"/>
      <c r="AR42" s="92"/>
      <c r="AS42" s="92"/>
      <c r="AT42" s="28"/>
      <c r="AU42" s="28"/>
      <c r="AV42" s="92"/>
      <c r="AW42" s="92"/>
      <c r="AX42" s="28"/>
      <c r="AY42" s="92"/>
      <c r="AZ42" s="92"/>
      <c r="BA42" s="28"/>
      <c r="BB42" s="92"/>
      <c r="BC42" s="28"/>
      <c r="BD42" s="28"/>
    </row>
    <row r="43" spans="1:56" s="311" customFormat="1" ht="72" customHeight="1">
      <c r="A43" s="64">
        <v>41</v>
      </c>
      <c r="B43" s="164" t="s">
        <v>29</v>
      </c>
      <c r="C43" s="179"/>
      <c r="D43" s="174" t="s">
        <v>257</v>
      </c>
      <c r="E43" s="178"/>
      <c r="F43" s="174" t="s">
        <v>1623</v>
      </c>
      <c r="G43" s="161" t="s">
        <v>209</v>
      </c>
      <c r="H43" s="21" t="s">
        <v>33</v>
      </c>
      <c r="I43" s="799"/>
      <c r="J43" s="169"/>
      <c r="K43" s="92"/>
      <c r="L43" s="92"/>
      <c r="M43" s="28"/>
      <c r="N43" s="92"/>
      <c r="O43" s="92" t="s">
        <v>258</v>
      </c>
      <c r="P43" s="92" t="s">
        <v>258</v>
      </c>
      <c r="Q43" s="92"/>
      <c r="R43" s="92"/>
      <c r="S43" s="92"/>
      <c r="T43" s="92"/>
      <c r="U43" s="28"/>
      <c r="V43" s="92"/>
      <c r="W43" s="92" t="s">
        <v>259</v>
      </c>
      <c r="X43" s="92"/>
      <c r="Y43" s="28"/>
      <c r="Z43" s="92"/>
      <c r="AA43" s="92"/>
      <c r="AB43" s="88"/>
      <c r="AC43" s="28"/>
      <c r="AD43" s="92"/>
      <c r="AE43" s="28"/>
      <c r="AF43" s="88"/>
      <c r="AG43" s="88"/>
      <c r="AH43" s="28"/>
      <c r="AI43" s="28"/>
      <c r="AJ43" s="92"/>
      <c r="AK43" s="88"/>
      <c r="AL43" s="28"/>
      <c r="AM43" s="92"/>
      <c r="AN43" s="92"/>
      <c r="AO43" s="88"/>
      <c r="AP43" s="28"/>
      <c r="AQ43" s="28"/>
      <c r="AR43" s="92"/>
      <c r="AS43" s="92"/>
      <c r="AT43" s="28"/>
      <c r="AU43" s="28"/>
      <c r="AV43" s="92"/>
      <c r="AW43" s="92"/>
      <c r="AX43" s="28"/>
      <c r="AY43" s="92"/>
      <c r="AZ43" s="92"/>
      <c r="BA43" s="28"/>
      <c r="BB43" s="92"/>
      <c r="BC43" s="28"/>
      <c r="BD43" s="28"/>
    </row>
    <row r="44" spans="1:56" s="311" customFormat="1" ht="30.75" customHeight="1">
      <c r="A44" s="170">
        <v>42</v>
      </c>
      <c r="B44" s="164" t="s">
        <v>29</v>
      </c>
      <c r="C44" s="179"/>
      <c r="D44" s="174" t="s">
        <v>260</v>
      </c>
      <c r="E44" s="178"/>
      <c r="F44" s="174" t="s">
        <v>1624</v>
      </c>
      <c r="G44" s="161" t="s">
        <v>209</v>
      </c>
      <c r="H44" s="21" t="s">
        <v>33</v>
      </c>
      <c r="I44" s="799"/>
      <c r="J44" s="169"/>
      <c r="K44" s="92"/>
      <c r="L44" s="92"/>
      <c r="M44" s="28"/>
      <c r="N44" s="92"/>
      <c r="O44" s="92"/>
      <c r="P44" s="92"/>
      <c r="Q44" s="92"/>
      <c r="R44" s="92"/>
      <c r="S44" s="92"/>
      <c r="T44" s="92"/>
      <c r="U44" s="28"/>
      <c r="V44" s="92"/>
      <c r="W44" s="92"/>
      <c r="X44" s="92"/>
      <c r="Y44" s="28"/>
      <c r="Z44" s="92"/>
      <c r="AA44" s="92"/>
      <c r="AB44" s="88"/>
      <c r="AC44" s="28"/>
      <c r="AD44" s="92"/>
      <c r="AE44" s="28"/>
      <c r="AF44" s="88"/>
      <c r="AG44" s="88"/>
      <c r="AH44" s="28"/>
      <c r="AI44" s="28"/>
      <c r="AJ44" s="92"/>
      <c r="AK44" s="88"/>
      <c r="AL44" s="28"/>
      <c r="AM44" s="92"/>
      <c r="AN44" s="92"/>
      <c r="AO44" s="88"/>
      <c r="AP44" s="28"/>
      <c r="AQ44" s="28"/>
      <c r="AR44" s="92"/>
      <c r="AS44" s="92"/>
      <c r="AT44" s="28"/>
      <c r="AU44" s="28"/>
      <c r="AV44" s="92"/>
      <c r="AW44" s="92"/>
      <c r="AX44" s="28"/>
      <c r="AY44" s="92"/>
      <c r="AZ44" s="92"/>
      <c r="BA44" s="28"/>
      <c r="BB44" s="92"/>
      <c r="BC44" s="28"/>
      <c r="BD44" s="28"/>
    </row>
    <row r="45" spans="1:56" s="311" customFormat="1" ht="45" customHeight="1">
      <c r="A45" s="78">
        <v>43</v>
      </c>
      <c r="B45" s="46" t="s">
        <v>29</v>
      </c>
      <c r="C45" s="182"/>
      <c r="D45" s="174" t="s">
        <v>261</v>
      </c>
      <c r="E45" s="178" t="s">
        <v>262</v>
      </c>
      <c r="F45" s="174" t="s">
        <v>1625</v>
      </c>
      <c r="G45" s="765" t="s">
        <v>209</v>
      </c>
      <c r="H45" s="21" t="s">
        <v>33</v>
      </c>
      <c r="I45" s="800"/>
      <c r="J45" s="169"/>
      <c r="K45" s="24"/>
      <c r="L45" s="24"/>
      <c r="M45" s="28"/>
      <c r="N45" s="24"/>
      <c r="O45" s="24"/>
      <c r="P45" s="24"/>
      <c r="Q45" s="24"/>
      <c r="R45" s="90"/>
      <c r="S45" s="90" t="s">
        <v>263</v>
      </c>
      <c r="T45" s="24"/>
      <c r="U45" s="25"/>
      <c r="V45" s="24"/>
      <c r="W45" s="24"/>
      <c r="X45" s="24"/>
      <c r="Y45" s="25"/>
      <c r="Z45" s="24"/>
      <c r="AA45" s="90"/>
      <c r="AB45" s="26"/>
      <c r="AC45" s="25"/>
      <c r="AD45" s="24"/>
      <c r="AE45" s="28"/>
      <c r="AF45" s="26"/>
      <c r="AG45" s="63"/>
      <c r="AH45" s="28"/>
      <c r="AI45" s="25"/>
      <c r="AJ45" s="24"/>
      <c r="AK45" s="63"/>
      <c r="AL45" s="25"/>
      <c r="AM45" s="24"/>
      <c r="AN45" s="24"/>
      <c r="AO45" s="26"/>
      <c r="AP45" s="28"/>
      <c r="AQ45" s="25"/>
      <c r="AR45" s="24"/>
      <c r="AS45" s="24"/>
      <c r="AT45" s="28"/>
      <c r="AU45" s="28"/>
      <c r="AV45" s="24"/>
      <c r="AW45" s="24"/>
      <c r="AX45" s="25"/>
      <c r="AY45" s="24"/>
      <c r="AZ45" s="24"/>
      <c r="BA45" s="25"/>
      <c r="BB45" s="24"/>
      <c r="BC45" s="28"/>
      <c r="BD45" s="28"/>
    </row>
    <row r="46" spans="1:56" s="311" customFormat="1" ht="185.25">
      <c r="A46" s="64">
        <v>44</v>
      </c>
      <c r="B46" s="46" t="s">
        <v>29</v>
      </c>
      <c r="C46" s="183" t="s">
        <v>75</v>
      </c>
      <c r="D46" s="174" t="s">
        <v>264</v>
      </c>
      <c r="E46" s="178"/>
      <c r="F46" s="174" t="s">
        <v>265</v>
      </c>
      <c r="G46" s="184" t="s">
        <v>266</v>
      </c>
      <c r="H46" s="21" t="s">
        <v>33</v>
      </c>
      <c r="I46" s="169" t="s">
        <v>88</v>
      </c>
      <c r="J46" s="169"/>
      <c r="K46" s="24"/>
      <c r="L46" s="24"/>
      <c r="M46" s="28"/>
      <c r="N46" s="24"/>
      <c r="O46" s="24" t="s">
        <v>258</v>
      </c>
      <c r="P46" s="24" t="s">
        <v>258</v>
      </c>
      <c r="Q46" s="24"/>
      <c r="R46" s="90"/>
      <c r="S46" s="90" t="s">
        <v>267</v>
      </c>
      <c r="T46" s="24" t="s">
        <v>268</v>
      </c>
      <c r="U46" s="24" t="s">
        <v>269</v>
      </c>
      <c r="V46" s="24"/>
      <c r="W46" s="24" t="s">
        <v>270</v>
      </c>
      <c r="X46" s="24"/>
      <c r="Y46" s="25"/>
      <c r="Z46" s="24"/>
      <c r="AA46" s="90"/>
      <c r="AB46" s="26"/>
      <c r="AC46" s="25"/>
      <c r="AD46" s="24"/>
      <c r="AE46" s="28"/>
      <c r="AF46" s="26"/>
      <c r="AG46" s="63"/>
      <c r="AH46" s="28"/>
      <c r="AI46" s="25"/>
      <c r="AJ46" s="24"/>
      <c r="AK46" s="63"/>
      <c r="AL46" s="25"/>
      <c r="AM46" s="24"/>
      <c r="AN46" s="24"/>
      <c r="AO46" s="26"/>
      <c r="AP46" s="28"/>
      <c r="AQ46" s="25"/>
      <c r="AR46" s="24"/>
      <c r="AS46" s="24"/>
      <c r="AT46" s="28"/>
      <c r="AU46" s="28"/>
      <c r="AV46" s="24"/>
      <c r="AW46" s="24"/>
      <c r="AX46" s="25"/>
      <c r="AY46" s="24"/>
      <c r="AZ46" s="24"/>
      <c r="BA46" s="25"/>
      <c r="BB46" s="24"/>
      <c r="BC46" s="28"/>
      <c r="BD46" s="28"/>
    </row>
    <row r="47" spans="1:56" s="311" customFormat="1" ht="42.75">
      <c r="A47" s="78">
        <v>45</v>
      </c>
      <c r="B47" s="46" t="s">
        <v>29</v>
      </c>
      <c r="C47" s="185"/>
      <c r="D47" s="174" t="s">
        <v>271</v>
      </c>
      <c r="E47" s="178" t="s">
        <v>272</v>
      </c>
      <c r="F47" s="174" t="s">
        <v>273</v>
      </c>
      <c r="G47" s="184" t="s">
        <v>274</v>
      </c>
      <c r="H47" s="21" t="s">
        <v>33</v>
      </c>
      <c r="I47" s="169" t="s">
        <v>88</v>
      </c>
      <c r="J47" s="169"/>
      <c r="K47" s="24"/>
      <c r="L47" s="24"/>
      <c r="M47" s="28"/>
      <c r="N47" s="24"/>
      <c r="O47" s="24"/>
      <c r="P47" s="24"/>
      <c r="Q47" s="24"/>
      <c r="R47" s="90"/>
      <c r="S47" s="90" t="s">
        <v>275</v>
      </c>
      <c r="T47" s="24" t="s">
        <v>276</v>
      </c>
      <c r="U47" s="25"/>
      <c r="V47" s="24"/>
      <c r="W47" s="24" t="s">
        <v>277</v>
      </c>
      <c r="X47" s="24"/>
      <c r="Y47" s="25"/>
      <c r="Z47" s="24"/>
      <c r="AA47" s="90"/>
      <c r="AB47" s="26"/>
      <c r="AC47" s="25"/>
      <c r="AD47" s="24"/>
      <c r="AE47" s="28"/>
      <c r="AF47" s="26"/>
      <c r="AG47" s="63"/>
      <c r="AH47" s="28"/>
      <c r="AI47" s="25"/>
      <c r="AJ47" s="24"/>
      <c r="AK47" s="63"/>
      <c r="AL47" s="25"/>
      <c r="AM47" s="24"/>
      <c r="AN47" s="24"/>
      <c r="AO47" s="26"/>
      <c r="AP47" s="28"/>
      <c r="AQ47" s="25"/>
      <c r="AR47" s="24"/>
      <c r="AS47" s="24"/>
      <c r="AT47" s="28"/>
      <c r="AU47" s="28"/>
      <c r="AV47" s="24"/>
      <c r="AW47" s="24"/>
      <c r="AX47" s="25"/>
      <c r="AY47" s="24"/>
      <c r="AZ47" s="24"/>
      <c r="BA47" s="25"/>
      <c r="BB47" s="24"/>
      <c r="BC47" s="28"/>
      <c r="BD47" s="28"/>
    </row>
    <row r="48" spans="1:56" s="311" customFormat="1" ht="142.5">
      <c r="A48" s="15">
        <v>46</v>
      </c>
      <c r="B48" s="31" t="s">
        <v>29</v>
      </c>
      <c r="C48" s="80" t="s">
        <v>75</v>
      </c>
      <c r="D48" s="174" t="s">
        <v>278</v>
      </c>
      <c r="E48" s="178" t="s">
        <v>279</v>
      </c>
      <c r="F48" s="174" t="s">
        <v>1626</v>
      </c>
      <c r="G48" s="184" t="s">
        <v>280</v>
      </c>
      <c r="H48" s="21" t="s">
        <v>33</v>
      </c>
      <c r="I48" s="186" t="s">
        <v>78</v>
      </c>
      <c r="J48" s="176"/>
      <c r="K48" s="24" t="s">
        <v>281</v>
      </c>
      <c r="L48" s="24" t="s">
        <v>282</v>
      </c>
      <c r="M48" s="28"/>
      <c r="N48" s="24"/>
      <c r="O48" s="24" t="s">
        <v>283</v>
      </c>
      <c r="P48" s="24" t="s">
        <v>284</v>
      </c>
      <c r="Q48" s="24"/>
      <c r="R48" s="90"/>
      <c r="S48" s="90" t="s">
        <v>285</v>
      </c>
      <c r="T48" s="24" t="s">
        <v>286</v>
      </c>
      <c r="U48" s="25"/>
      <c r="V48" s="24"/>
      <c r="W48" s="24" t="s">
        <v>287</v>
      </c>
      <c r="X48" s="24"/>
      <c r="Y48" s="25"/>
      <c r="Z48" s="24"/>
      <c r="AA48" s="90"/>
      <c r="AB48" s="26"/>
      <c r="AC48" s="25"/>
      <c r="AD48" s="24"/>
      <c r="AE48" s="28"/>
      <c r="AF48" s="26"/>
      <c r="AG48" s="63"/>
      <c r="AH48" s="28"/>
      <c r="AI48" s="25"/>
      <c r="AJ48" s="24"/>
      <c r="AK48" s="63"/>
      <c r="AL48" s="25"/>
      <c r="AM48" s="24"/>
      <c r="AN48" s="24"/>
      <c r="AO48" s="26"/>
      <c r="AP48" s="28"/>
      <c r="AQ48" s="25"/>
      <c r="AR48" s="24"/>
      <c r="AS48" s="24"/>
      <c r="AT48" s="28"/>
      <c r="AU48" s="28"/>
      <c r="AV48" s="24"/>
      <c r="AW48" s="24"/>
      <c r="AX48" s="25"/>
      <c r="AY48" s="24"/>
      <c r="AZ48" s="24"/>
      <c r="BA48" s="25"/>
      <c r="BB48" s="24"/>
      <c r="BC48" s="28"/>
      <c r="BD48" s="28"/>
    </row>
    <row r="49" spans="1:56" s="311" customFormat="1" ht="99.75">
      <c r="A49" s="30">
        <v>47</v>
      </c>
      <c r="B49" s="31" t="s">
        <v>29</v>
      </c>
      <c r="C49" s="80" t="s">
        <v>75</v>
      </c>
      <c r="D49" s="187" t="s">
        <v>288</v>
      </c>
      <c r="E49" s="187" t="s">
        <v>289</v>
      </c>
      <c r="F49" s="187" t="s">
        <v>1627</v>
      </c>
      <c r="G49" s="188" t="s">
        <v>290</v>
      </c>
      <c r="H49" s="21" t="s">
        <v>33</v>
      </c>
      <c r="I49" s="186" t="s">
        <v>78</v>
      </c>
      <c r="J49" s="189"/>
      <c r="K49" s="24" t="s">
        <v>291</v>
      </c>
      <c r="L49" s="24" t="s">
        <v>292</v>
      </c>
      <c r="M49" s="28"/>
      <c r="N49" s="24"/>
      <c r="O49" s="24" t="s">
        <v>293</v>
      </c>
      <c r="P49" s="24" t="s">
        <v>294</v>
      </c>
      <c r="Q49" s="24"/>
      <c r="R49" s="90"/>
      <c r="S49" s="90" t="s">
        <v>295</v>
      </c>
      <c r="T49" s="24" t="s">
        <v>296</v>
      </c>
      <c r="U49" s="25"/>
      <c r="V49" s="24"/>
      <c r="W49" s="24" t="s">
        <v>297</v>
      </c>
      <c r="X49" s="24"/>
      <c r="Y49" s="25"/>
      <c r="Z49" s="24"/>
      <c r="AA49" s="90"/>
      <c r="AB49" s="26"/>
      <c r="AC49" s="25"/>
      <c r="AD49" s="24"/>
      <c r="AE49" s="28"/>
      <c r="AF49" s="26"/>
      <c r="AG49" s="24"/>
      <c r="AH49" s="24"/>
      <c r="AI49" s="25"/>
      <c r="AJ49" s="24"/>
      <c r="AK49" s="26"/>
      <c r="AL49" s="25"/>
      <c r="AM49" s="24"/>
      <c r="AN49" s="24"/>
      <c r="AO49" s="26"/>
      <c r="AP49" s="24"/>
      <c r="AQ49" s="25"/>
      <c r="AR49" s="24"/>
      <c r="AS49" s="24"/>
      <c r="AT49" s="28"/>
      <c r="AU49" s="25"/>
      <c r="AV49" s="24"/>
      <c r="AW49" s="24"/>
      <c r="AX49" s="25"/>
      <c r="AY49" s="24"/>
      <c r="AZ49" s="24"/>
      <c r="BA49" s="24"/>
      <c r="BB49" s="24"/>
      <c r="BC49" s="28"/>
      <c r="BD49" s="28"/>
    </row>
    <row r="50" spans="1:56" s="137" customFormat="1" ht="114">
      <c r="A50" s="76">
        <v>48</v>
      </c>
      <c r="B50" s="16" t="s">
        <v>29</v>
      </c>
      <c r="C50" s="190"/>
      <c r="D50" s="191" t="s">
        <v>298</v>
      </c>
      <c r="E50" s="192"/>
      <c r="F50" s="192" t="s">
        <v>1628</v>
      </c>
      <c r="G50" s="193" t="s">
        <v>290</v>
      </c>
      <c r="H50" s="21" t="s">
        <v>33</v>
      </c>
      <c r="I50" s="194" t="s">
        <v>78</v>
      </c>
      <c r="J50" s="195"/>
      <c r="K50" s="196" t="s">
        <v>299</v>
      </c>
      <c r="L50" s="74" t="s">
        <v>300</v>
      </c>
      <c r="M50" s="44"/>
      <c r="N50" s="43"/>
      <c r="O50" s="43" t="s">
        <v>301</v>
      </c>
      <c r="P50" s="43" t="s">
        <v>302</v>
      </c>
      <c r="Q50" s="43"/>
      <c r="R50" s="43"/>
      <c r="S50" s="43" t="s">
        <v>303</v>
      </c>
      <c r="T50" s="43" t="s">
        <v>304</v>
      </c>
      <c r="U50" s="42"/>
      <c r="V50" s="43"/>
      <c r="W50" s="43" t="s">
        <v>305</v>
      </c>
      <c r="X50" s="43"/>
      <c r="Y50" s="42"/>
      <c r="Z50" s="43"/>
      <c r="AA50" s="43"/>
      <c r="AB50" s="43"/>
      <c r="AC50" s="42"/>
      <c r="AD50" s="44"/>
      <c r="AE50" s="44"/>
      <c r="AF50" s="43"/>
      <c r="AG50" s="43"/>
      <c r="AH50" s="44"/>
      <c r="AI50" s="42"/>
      <c r="AJ50" s="43"/>
      <c r="AK50" s="43"/>
      <c r="AL50" s="42"/>
      <c r="AM50" s="43"/>
      <c r="AN50" s="43"/>
      <c r="AO50" s="43"/>
      <c r="AP50" s="44"/>
      <c r="AQ50" s="42"/>
      <c r="AR50" s="43"/>
      <c r="AS50" s="43"/>
      <c r="AT50" s="44"/>
      <c r="AU50" s="42"/>
      <c r="AV50" s="43"/>
      <c r="AW50" s="43"/>
      <c r="AX50" s="42"/>
      <c r="AY50" s="43"/>
      <c r="AZ50" s="42"/>
      <c r="BA50" s="42"/>
      <c r="BB50" s="43"/>
      <c r="BC50" s="44"/>
      <c r="BD50" s="44"/>
    </row>
    <row r="51" spans="1:56" s="137" customFormat="1" ht="142.5">
      <c r="A51" s="78">
        <v>49</v>
      </c>
      <c r="B51" s="99" t="s">
        <v>29</v>
      </c>
      <c r="C51" s="100" t="s">
        <v>75</v>
      </c>
      <c r="D51" s="33" t="s">
        <v>306</v>
      </c>
      <c r="E51" s="33"/>
      <c r="F51" s="34" t="s">
        <v>1629</v>
      </c>
      <c r="G51" s="197" t="s">
        <v>307</v>
      </c>
      <c r="H51" s="71" t="s">
        <v>33</v>
      </c>
      <c r="I51" s="198" t="s">
        <v>88</v>
      </c>
      <c r="J51" s="195"/>
      <c r="K51" s="196" t="s">
        <v>308</v>
      </c>
      <c r="L51" s="74" t="s">
        <v>309</v>
      </c>
      <c r="M51" s="44"/>
      <c r="N51" s="43"/>
      <c r="O51" s="43" t="s">
        <v>310</v>
      </c>
      <c r="P51" s="199" t="s">
        <v>311</v>
      </c>
      <c r="Q51" s="43"/>
      <c r="R51" s="43"/>
      <c r="S51" s="43" t="s">
        <v>312</v>
      </c>
      <c r="T51" s="43" t="s">
        <v>313</v>
      </c>
      <c r="U51" s="42"/>
      <c r="V51" s="43"/>
      <c r="W51" s="43" t="s">
        <v>314</v>
      </c>
      <c r="X51" s="43"/>
      <c r="Y51" s="42"/>
      <c r="Z51" s="43"/>
      <c r="AA51" s="43"/>
      <c r="AB51" s="43"/>
      <c r="AC51" s="42"/>
      <c r="AD51" s="44"/>
      <c r="AE51" s="44"/>
      <c r="AF51" s="43"/>
      <c r="AG51" s="43"/>
      <c r="AH51" s="44"/>
      <c r="AI51" s="42"/>
      <c r="AJ51" s="43"/>
      <c r="AK51" s="43"/>
      <c r="AL51" s="42"/>
      <c r="AM51" s="43"/>
      <c r="AN51" s="43"/>
      <c r="AO51" s="43"/>
      <c r="AP51" s="43"/>
      <c r="AQ51" s="42"/>
      <c r="AR51" s="43"/>
      <c r="AS51" s="43"/>
      <c r="AT51" s="43"/>
      <c r="AU51" s="42"/>
      <c r="AV51" s="43"/>
      <c r="AW51" s="43"/>
      <c r="AX51" s="42"/>
      <c r="AY51" s="43"/>
      <c r="AZ51" s="43"/>
      <c r="BA51" s="44"/>
      <c r="BB51" s="43"/>
      <c r="BC51" s="44"/>
      <c r="BD51" s="44"/>
    </row>
    <row r="52" spans="1:56" s="137" customFormat="1" ht="28.5">
      <c r="A52" s="64">
        <v>50</v>
      </c>
      <c r="B52" s="164" t="s">
        <v>29</v>
      </c>
      <c r="C52" s="200"/>
      <c r="D52" s="201" t="s">
        <v>55</v>
      </c>
      <c r="E52" s="200" t="s">
        <v>315</v>
      </c>
      <c r="F52" s="200" t="s">
        <v>316</v>
      </c>
      <c r="G52" s="184"/>
      <c r="H52" s="21" t="s">
        <v>33</v>
      </c>
      <c r="I52" s="202" t="s">
        <v>34</v>
      </c>
      <c r="J52" s="195"/>
      <c r="K52" s="43"/>
      <c r="L52" s="44"/>
      <c r="M52" s="44"/>
      <c r="N52" s="43"/>
      <c r="O52" s="43"/>
      <c r="P52" s="43"/>
      <c r="Q52" s="43"/>
      <c r="R52" s="43"/>
      <c r="S52" s="43"/>
      <c r="T52" s="43"/>
      <c r="U52" s="42"/>
      <c r="V52" s="43"/>
      <c r="W52" s="43"/>
      <c r="X52" s="43"/>
      <c r="Y52" s="42"/>
      <c r="Z52" s="43"/>
      <c r="AA52" s="43"/>
      <c r="AB52" s="43"/>
      <c r="AC52" s="42"/>
      <c r="AD52" s="44"/>
      <c r="AE52" s="44"/>
      <c r="AF52" s="43"/>
      <c r="AG52" s="43"/>
      <c r="AH52" s="44"/>
      <c r="AI52" s="42"/>
      <c r="AJ52" s="43"/>
      <c r="AK52" s="43"/>
      <c r="AL52" s="42"/>
      <c r="AM52" s="43"/>
      <c r="AN52" s="43"/>
      <c r="AO52" s="43"/>
      <c r="AP52" s="43"/>
      <c r="AQ52" s="42"/>
      <c r="AR52" s="43"/>
      <c r="AS52" s="43"/>
      <c r="AT52" s="43"/>
      <c r="AU52" s="42"/>
      <c r="AV52" s="43"/>
      <c r="AW52" s="43"/>
      <c r="AX52" s="42"/>
      <c r="AY52" s="43"/>
      <c r="AZ52" s="43"/>
      <c r="BA52" s="44"/>
      <c r="BB52" s="43"/>
      <c r="BC52" s="44"/>
      <c r="BD52" s="44"/>
    </row>
    <row r="53" spans="1:56" s="379" customFormat="1" ht="28.5">
      <c r="A53" s="76">
        <v>51</v>
      </c>
      <c r="B53" s="99" t="s">
        <v>29</v>
      </c>
      <c r="C53" s="192"/>
      <c r="D53" s="203" t="s">
        <v>63</v>
      </c>
      <c r="E53" s="101"/>
      <c r="F53" s="102" t="s">
        <v>317</v>
      </c>
      <c r="G53" s="204" t="s">
        <v>318</v>
      </c>
      <c r="H53" s="71" t="s">
        <v>33</v>
      </c>
      <c r="I53" s="205" t="s">
        <v>34</v>
      </c>
      <c r="J53" s="206"/>
      <c r="K53" s="43"/>
      <c r="L53" s="43"/>
      <c r="M53" s="44"/>
      <c r="N53" s="207"/>
      <c r="O53" s="207" t="s">
        <v>319</v>
      </c>
      <c r="P53" s="25" t="s">
        <v>320</v>
      </c>
      <c r="Q53" s="208"/>
      <c r="R53" s="29"/>
      <c r="S53" s="24" t="s">
        <v>321</v>
      </c>
      <c r="T53" s="43"/>
      <c r="U53" s="42"/>
      <c r="V53" s="43"/>
      <c r="W53" s="43"/>
      <c r="X53" s="63"/>
      <c r="Y53" s="42"/>
      <c r="Z53" s="43"/>
      <c r="AA53" s="43"/>
      <c r="AB53" s="63"/>
      <c r="AC53" s="42"/>
      <c r="AD53" s="44"/>
      <c r="AE53" s="44"/>
      <c r="AF53" s="43"/>
      <c r="AG53" s="63"/>
      <c r="AH53" s="44"/>
      <c r="AI53" s="42"/>
      <c r="AJ53" s="43"/>
      <c r="AK53" s="63"/>
      <c r="AL53" s="42"/>
      <c r="AM53" s="43"/>
      <c r="AN53" s="43"/>
      <c r="AO53" s="43"/>
      <c r="AP53" s="44"/>
      <c r="AQ53" s="42"/>
      <c r="AR53" s="43"/>
      <c r="AS53" s="63"/>
      <c r="AT53" s="44"/>
      <c r="AU53" s="42"/>
      <c r="AV53" s="43"/>
      <c r="AW53" s="43"/>
      <c r="AX53" s="42"/>
      <c r="AY53" s="43"/>
      <c r="AZ53" s="43"/>
      <c r="BA53" s="42"/>
      <c r="BB53" s="43"/>
      <c r="BC53" s="44"/>
      <c r="BD53" s="44"/>
    </row>
    <row r="54" spans="1:56" s="771" customFormat="1" ht="28.5">
      <c r="A54" s="209">
        <v>52</v>
      </c>
      <c r="B54" s="16" t="s">
        <v>29</v>
      </c>
      <c r="C54" s="190"/>
      <c r="D54" s="203" t="s">
        <v>69</v>
      </c>
      <c r="E54" s="210"/>
      <c r="F54" s="102" t="s">
        <v>317</v>
      </c>
      <c r="G54" s="204" t="s">
        <v>318</v>
      </c>
      <c r="H54" s="71" t="s">
        <v>33</v>
      </c>
      <c r="I54" s="205" t="s">
        <v>34</v>
      </c>
      <c r="J54" s="211"/>
      <c r="K54" s="212"/>
      <c r="L54" s="212"/>
      <c r="M54" s="212"/>
      <c r="N54" s="213"/>
      <c r="O54" s="213" t="s">
        <v>322</v>
      </c>
      <c r="P54" s="25" t="s">
        <v>320</v>
      </c>
      <c r="Q54" s="214"/>
      <c r="R54" s="215"/>
      <c r="S54" s="24" t="s">
        <v>323</v>
      </c>
      <c r="T54" s="216"/>
      <c r="U54" s="212"/>
      <c r="V54" s="217"/>
      <c r="W54" s="217"/>
      <c r="X54" s="216"/>
      <c r="Y54" s="212"/>
      <c r="Z54" s="212"/>
      <c r="AA54" s="214"/>
      <c r="AB54" s="218"/>
      <c r="AC54" s="219"/>
      <c r="AD54" s="219"/>
      <c r="AE54" s="219"/>
      <c r="AF54" s="217"/>
      <c r="AG54" s="220"/>
      <c r="AH54" s="217"/>
      <c r="AI54" s="212"/>
      <c r="AJ54" s="217"/>
      <c r="AK54" s="217"/>
      <c r="AL54" s="212"/>
      <c r="AM54" s="212"/>
      <c r="AN54" s="214"/>
      <c r="AO54" s="217"/>
      <c r="AP54" s="219"/>
      <c r="AQ54" s="212"/>
      <c r="AR54" s="217"/>
      <c r="AS54" s="217"/>
      <c r="AT54" s="219"/>
      <c r="AU54" s="212"/>
      <c r="AV54" s="217"/>
      <c r="AW54" s="212"/>
      <c r="AX54" s="219"/>
      <c r="AY54" s="217"/>
      <c r="AZ54" s="212"/>
      <c r="BA54" s="212"/>
      <c r="BB54" s="212"/>
      <c r="BC54" s="219"/>
      <c r="BD54" s="219"/>
    </row>
    <row r="55" spans="1:56" s="772" customFormat="1" ht="33">
      <c r="A55" s="221">
        <v>53</v>
      </c>
      <c r="B55" s="99" t="s">
        <v>29</v>
      </c>
      <c r="C55" s="222"/>
      <c r="D55" s="67" t="s">
        <v>72</v>
      </c>
      <c r="E55" s="19"/>
      <c r="F55" s="68" t="s">
        <v>1585</v>
      </c>
      <c r="G55" s="204" t="s">
        <v>318</v>
      </c>
      <c r="H55" s="71" t="s">
        <v>33</v>
      </c>
      <c r="I55" s="223" t="s">
        <v>34</v>
      </c>
      <c r="J55" s="93"/>
      <c r="K55" s="24"/>
      <c r="L55" s="24"/>
      <c r="M55" s="24"/>
      <c r="N55" s="213"/>
      <c r="O55" s="224" t="s">
        <v>324</v>
      </c>
      <c r="P55" s="25" t="s">
        <v>320</v>
      </c>
      <c r="Q55" s="24"/>
      <c r="R55" s="24"/>
      <c r="S55" s="24" t="s">
        <v>325</v>
      </c>
      <c r="T55" s="24"/>
      <c r="U55" s="24"/>
      <c r="V55" s="24"/>
      <c r="W55" s="24"/>
      <c r="X55" s="90"/>
      <c r="Y55" s="24"/>
      <c r="Z55" s="24"/>
      <c r="AA55" s="24"/>
      <c r="AB55" s="63"/>
      <c r="AC55" s="92"/>
      <c r="AD55" s="92"/>
      <c r="AE55" s="92"/>
      <c r="AF55" s="63"/>
      <c r="AG55" s="26"/>
      <c r="AH55" s="92"/>
      <c r="AI55" s="24"/>
      <c r="AJ55" s="24"/>
      <c r="AK55" s="163"/>
      <c r="AL55" s="24"/>
      <c r="AM55" s="24"/>
      <c r="AN55" s="24"/>
      <c r="AO55" s="24"/>
      <c r="AP55" s="92"/>
      <c r="AQ55" s="24"/>
      <c r="AR55" s="24"/>
      <c r="AS55" s="24"/>
      <c r="AT55" s="92"/>
      <c r="AU55" s="24"/>
      <c r="AV55" s="24"/>
      <c r="AW55" s="24"/>
      <c r="AX55" s="92"/>
      <c r="AY55" s="24"/>
      <c r="AZ55" s="24"/>
      <c r="BA55" s="24"/>
      <c r="BB55" s="24"/>
      <c r="BC55" s="92"/>
      <c r="BD55" s="92"/>
    </row>
    <row r="56" spans="1:56" s="175" customFormat="1" ht="31.5" customHeight="1">
      <c r="A56" s="76">
        <v>54</v>
      </c>
      <c r="B56" s="108" t="s">
        <v>29</v>
      </c>
      <c r="C56" s="225"/>
      <c r="D56" s="88" t="s">
        <v>49</v>
      </c>
      <c r="E56" s="88"/>
      <c r="F56" s="88" t="s">
        <v>1630</v>
      </c>
      <c r="G56" s="226" t="s">
        <v>318</v>
      </c>
      <c r="H56" s="71" t="s">
        <v>33</v>
      </c>
      <c r="I56" s="205" t="s">
        <v>34</v>
      </c>
      <c r="J56" s="227"/>
      <c r="K56" s="228"/>
      <c r="L56" s="142"/>
      <c r="M56" s="142"/>
      <c r="N56" s="88"/>
      <c r="O56" s="88" t="s">
        <v>326</v>
      </c>
      <c r="P56" s="88" t="s">
        <v>327</v>
      </c>
      <c r="Q56" s="88"/>
      <c r="R56" s="88"/>
      <c r="S56" s="88" t="s">
        <v>328</v>
      </c>
      <c r="T56" s="88"/>
      <c r="U56" s="142"/>
      <c r="V56" s="88"/>
      <c r="W56" s="88"/>
      <c r="X56" s="88"/>
      <c r="Y56" s="142"/>
      <c r="Z56" s="88"/>
      <c r="AA56" s="88"/>
      <c r="AB56" s="88"/>
      <c r="AC56" s="142"/>
      <c r="AD56" s="142"/>
      <c r="AE56" s="142"/>
      <c r="AF56" s="88"/>
      <c r="AG56" s="88"/>
      <c r="AH56" s="142"/>
      <c r="AI56" s="142"/>
      <c r="AJ56" s="88"/>
      <c r="AK56" s="88"/>
      <c r="AL56" s="142"/>
      <c r="AM56" s="88"/>
      <c r="AN56" s="88"/>
      <c r="AO56" s="88"/>
      <c r="AP56" s="142"/>
      <c r="AQ56" s="142"/>
      <c r="AR56" s="88"/>
      <c r="AS56" s="88"/>
      <c r="AT56" s="142"/>
      <c r="AU56" s="142"/>
      <c r="AV56" s="88"/>
      <c r="AW56" s="88"/>
      <c r="AX56" s="142"/>
      <c r="AY56" s="88"/>
      <c r="AZ56" s="142"/>
      <c r="BA56" s="142"/>
      <c r="BB56" s="88"/>
      <c r="BC56" s="142"/>
      <c r="BD56" s="142"/>
    </row>
    <row r="57" spans="1:56" ht="128.25">
      <c r="A57" s="78">
        <v>55</v>
      </c>
      <c r="B57" s="31" t="s">
        <v>29</v>
      </c>
      <c r="C57" s="229"/>
      <c r="D57" s="230" t="s">
        <v>329</v>
      </c>
      <c r="E57" s="88" t="s">
        <v>330</v>
      </c>
      <c r="F57" s="88" t="s">
        <v>1631</v>
      </c>
      <c r="G57" s="204" t="s">
        <v>331</v>
      </c>
      <c r="H57" s="71" t="s">
        <v>33</v>
      </c>
      <c r="I57" s="231" t="s">
        <v>78</v>
      </c>
      <c r="J57" s="231"/>
      <c r="K57" s="137" t="s">
        <v>332</v>
      </c>
      <c r="L57" s="156" t="s">
        <v>333</v>
      </c>
      <c r="M57" s="137"/>
      <c r="N57" s="156"/>
      <c r="O57" s="156" t="s">
        <v>334</v>
      </c>
      <c r="P57" s="156" t="s">
        <v>335</v>
      </c>
      <c r="Q57" s="137"/>
      <c r="R57" s="156"/>
      <c r="S57" s="156" t="s">
        <v>336</v>
      </c>
      <c r="T57" s="137" t="s">
        <v>337</v>
      </c>
      <c r="U57" s="137"/>
      <c r="V57" s="156"/>
      <c r="W57" s="156" t="s">
        <v>338</v>
      </c>
      <c r="X57" s="137" t="s">
        <v>339</v>
      </c>
      <c r="Y57" s="137"/>
      <c r="Z57" s="137"/>
      <c r="AA57" s="137"/>
      <c r="AB57" s="137"/>
      <c r="AC57" s="137"/>
      <c r="AD57" s="137"/>
      <c r="AE57" s="137"/>
      <c r="AF57" s="156"/>
      <c r="AG57" s="137"/>
      <c r="AH57" s="137"/>
      <c r="AI57" s="137"/>
      <c r="AJ57" s="137"/>
      <c r="AK57" s="137"/>
      <c r="AL57" s="137"/>
      <c r="AM57" s="137"/>
      <c r="AN57" s="130"/>
      <c r="AO57" s="137"/>
      <c r="AP57" s="137"/>
      <c r="AQ57" s="137"/>
      <c r="AR57" s="137"/>
      <c r="AS57" s="137"/>
      <c r="AT57" s="137"/>
      <c r="AU57" s="137"/>
      <c r="AV57" s="137"/>
      <c r="AW57" s="137"/>
      <c r="AX57" s="137"/>
      <c r="AY57" s="137"/>
      <c r="AZ57" s="137"/>
      <c r="BA57" s="137"/>
      <c r="BB57" s="137"/>
      <c r="BC57" s="137"/>
      <c r="BD57" s="137"/>
    </row>
    <row r="58" spans="1:56" ht="409.5">
      <c r="A58" s="64">
        <v>56</v>
      </c>
      <c r="B58" s="31" t="s">
        <v>29</v>
      </c>
      <c r="C58" s="229"/>
      <c r="D58" s="232" t="s">
        <v>180</v>
      </c>
      <c r="E58" s="152" t="s">
        <v>340</v>
      </c>
      <c r="F58" s="233" t="s">
        <v>1632</v>
      </c>
      <c r="G58" s="234" t="s">
        <v>209</v>
      </c>
      <c r="H58" s="71" t="s">
        <v>33</v>
      </c>
      <c r="I58" s="231"/>
      <c r="J58" s="231"/>
      <c r="K58" s="137"/>
      <c r="L58" s="137"/>
      <c r="M58" s="137"/>
      <c r="N58" s="137"/>
      <c r="O58" s="137"/>
      <c r="P58" s="137"/>
      <c r="Q58" s="137"/>
      <c r="R58" s="137"/>
      <c r="S58" s="137"/>
      <c r="T58" s="137"/>
      <c r="U58" s="137"/>
      <c r="V58" s="156"/>
      <c r="W58" s="137"/>
      <c r="X58" s="137"/>
      <c r="Y58" s="137"/>
      <c r="Z58" s="137"/>
      <c r="AA58" s="137"/>
      <c r="AB58" s="137"/>
      <c r="AC58" s="137"/>
      <c r="AD58" s="137"/>
      <c r="AE58" s="137"/>
      <c r="AF58" s="156"/>
      <c r="AG58" s="137"/>
      <c r="AH58" s="137"/>
      <c r="AI58" s="137"/>
      <c r="AJ58" s="137"/>
      <c r="AK58" s="137"/>
      <c r="AL58" s="137"/>
      <c r="AM58" s="137"/>
      <c r="AN58" s="130"/>
      <c r="AO58" s="137"/>
      <c r="AP58" s="137"/>
      <c r="AQ58" s="137"/>
      <c r="AR58" s="137"/>
      <c r="AS58" s="137"/>
      <c r="AT58" s="137"/>
      <c r="AU58" s="137"/>
      <c r="AV58" s="137"/>
      <c r="AW58" s="137"/>
      <c r="AX58" s="137"/>
      <c r="AY58" s="137"/>
      <c r="AZ58" s="137"/>
      <c r="BA58" s="137"/>
      <c r="BB58" s="137"/>
      <c r="BC58" s="137"/>
      <c r="BD58" s="137"/>
    </row>
    <row r="59" spans="1:56" s="137" customFormat="1" ht="66">
      <c r="A59" s="45">
        <v>57</v>
      </c>
      <c r="B59" s="185" t="s">
        <v>341</v>
      </c>
      <c r="C59" s="80" t="s">
        <v>75</v>
      </c>
      <c r="D59" s="235" t="s">
        <v>342</v>
      </c>
      <c r="E59" s="49"/>
      <c r="F59" s="236" t="s">
        <v>1633</v>
      </c>
      <c r="G59" s="237" t="s">
        <v>343</v>
      </c>
      <c r="H59" s="71" t="s">
        <v>33</v>
      </c>
      <c r="I59" s="238" t="s">
        <v>78</v>
      </c>
      <c r="J59" s="238"/>
      <c r="K59" s="58" t="s">
        <v>344</v>
      </c>
      <c r="L59" s="58" t="s">
        <v>345</v>
      </c>
      <c r="M59" s="59"/>
      <c r="N59" s="58"/>
      <c r="O59" s="58" t="s">
        <v>346</v>
      </c>
      <c r="P59" s="58" t="s">
        <v>347</v>
      </c>
      <c r="Q59" s="59"/>
      <c r="R59" s="58"/>
      <c r="S59" s="58" t="s">
        <v>348</v>
      </c>
      <c r="T59" s="58" t="s">
        <v>349</v>
      </c>
      <c r="U59" s="59"/>
      <c r="V59" s="58"/>
      <c r="W59" s="58" t="s">
        <v>350</v>
      </c>
      <c r="X59" s="60"/>
      <c r="Y59" s="59"/>
      <c r="Z59" s="58"/>
      <c r="AA59" s="58"/>
      <c r="AB59" s="60"/>
      <c r="AC59" s="59"/>
      <c r="AD59" s="58"/>
      <c r="AE59" s="239"/>
      <c r="AF59" s="240"/>
      <c r="AG59" s="60"/>
      <c r="AH59" s="239"/>
      <c r="AI59" s="239"/>
      <c r="AJ59" s="58"/>
      <c r="AK59" s="60"/>
      <c r="AL59" s="59"/>
      <c r="AM59" s="58"/>
      <c r="AN59" s="58"/>
      <c r="AO59" s="60"/>
      <c r="AP59" s="58"/>
      <c r="AQ59" s="59"/>
      <c r="AR59" s="58"/>
      <c r="AS59" s="60"/>
      <c r="AT59" s="58"/>
      <c r="AU59" s="59"/>
      <c r="AV59" s="58"/>
      <c r="AW59" s="60"/>
      <c r="AX59" s="59"/>
      <c r="AY59" s="58"/>
      <c r="AZ59" s="60"/>
      <c r="BA59" s="239"/>
      <c r="BB59" s="58"/>
      <c r="BC59" s="239"/>
      <c r="BD59" s="239"/>
    </row>
    <row r="60" spans="1:56" s="311" customFormat="1" ht="63.75" customHeight="1">
      <c r="A60" s="15">
        <v>58</v>
      </c>
      <c r="B60" s="241" t="s">
        <v>341</v>
      </c>
      <c r="C60" s="242" t="s">
        <v>75</v>
      </c>
      <c r="D60" s="243" t="s">
        <v>351</v>
      </c>
      <c r="E60" s="244" t="s">
        <v>352</v>
      </c>
      <c r="F60" s="245" t="s">
        <v>353</v>
      </c>
      <c r="G60" s="246" t="s">
        <v>354</v>
      </c>
      <c r="H60" s="71" t="s">
        <v>33</v>
      </c>
      <c r="I60" s="89" t="s">
        <v>355</v>
      </c>
      <c r="J60" s="89"/>
      <c r="K60" s="28" t="s">
        <v>356</v>
      </c>
      <c r="L60" s="92" t="s">
        <v>357</v>
      </c>
      <c r="M60" s="28"/>
      <c r="N60" s="24"/>
      <c r="O60" s="24" t="s">
        <v>358</v>
      </c>
      <c r="P60" s="24" t="s">
        <v>359</v>
      </c>
      <c r="Q60" s="25"/>
      <c r="R60" s="24"/>
      <c r="S60" s="24" t="s">
        <v>360</v>
      </c>
      <c r="T60" s="24" t="s">
        <v>361</v>
      </c>
      <c r="U60" s="24"/>
      <c r="V60" s="24"/>
      <c r="W60" s="24"/>
      <c r="X60" s="24"/>
      <c r="Y60" s="25"/>
      <c r="Z60" s="24"/>
      <c r="AA60" s="24"/>
      <c r="AB60" s="24"/>
      <c r="AC60" s="25"/>
      <c r="AD60" s="28"/>
      <c r="AE60" s="25"/>
      <c r="AF60" s="24"/>
      <c r="AG60" s="26"/>
      <c r="AH60" s="24"/>
      <c r="AI60" s="25"/>
      <c r="AJ60" s="24"/>
      <c r="AK60" s="24"/>
      <c r="AL60" s="25"/>
      <c r="AM60" s="24"/>
      <c r="AN60" s="24"/>
      <c r="AO60" s="24"/>
      <c r="AP60" s="24"/>
      <c r="AQ60" s="24"/>
      <c r="AR60" s="24"/>
      <c r="AS60" s="24"/>
      <c r="AT60" s="28"/>
      <c r="AU60" s="25"/>
      <c r="AV60" s="24"/>
      <c r="AW60" s="25"/>
      <c r="AX60" s="25"/>
      <c r="AY60" s="24"/>
      <c r="AZ60" s="25"/>
      <c r="BA60" s="28"/>
      <c r="BB60" s="24"/>
      <c r="BC60" s="28"/>
      <c r="BD60" s="28"/>
    </row>
    <row r="61" spans="1:56" s="311" customFormat="1" ht="63.75" customHeight="1">
      <c r="A61" s="64">
        <v>59</v>
      </c>
      <c r="B61" s="185" t="s">
        <v>341</v>
      </c>
      <c r="C61" s="100" t="s">
        <v>75</v>
      </c>
      <c r="D61" s="243" t="s">
        <v>351</v>
      </c>
      <c r="E61" s="247" t="s">
        <v>362</v>
      </c>
      <c r="F61" s="245" t="s">
        <v>353</v>
      </c>
      <c r="G61" s="246" t="s">
        <v>354</v>
      </c>
      <c r="H61" s="71" t="s">
        <v>33</v>
      </c>
      <c r="I61" s="70" t="s">
        <v>355</v>
      </c>
      <c r="J61" s="70"/>
      <c r="K61" s="28" t="s">
        <v>363</v>
      </c>
      <c r="L61" s="28" t="s">
        <v>364</v>
      </c>
      <c r="M61" s="28"/>
      <c r="N61" s="24"/>
      <c r="O61" s="24" t="s">
        <v>358</v>
      </c>
      <c r="P61" s="24" t="s">
        <v>359</v>
      </c>
      <c r="Q61" s="25"/>
      <c r="R61" s="24"/>
      <c r="S61" s="24" t="s">
        <v>360</v>
      </c>
      <c r="T61" s="24" t="s">
        <v>365</v>
      </c>
      <c r="U61" s="24"/>
      <c r="V61" s="24"/>
      <c r="W61" s="24" t="s">
        <v>360</v>
      </c>
      <c r="X61" s="24"/>
      <c r="Y61" s="25"/>
      <c r="Z61" s="24"/>
      <c r="AA61" s="24"/>
      <c r="AB61" s="24"/>
      <c r="AC61" s="25"/>
      <c r="AD61" s="28"/>
      <c r="AE61" s="25"/>
      <c r="AF61" s="24"/>
      <c r="AG61" s="26"/>
      <c r="AH61" s="24"/>
      <c r="AI61" s="25"/>
      <c r="AJ61" s="24"/>
      <c r="AK61" s="24"/>
      <c r="AL61" s="25"/>
      <c r="AM61" s="24"/>
      <c r="AN61" s="24"/>
      <c r="AO61" s="24"/>
      <c r="AP61" s="24"/>
      <c r="AQ61" s="24"/>
      <c r="AR61" s="24"/>
      <c r="AS61" s="24"/>
      <c r="AT61" s="28"/>
      <c r="AU61" s="25"/>
      <c r="AV61" s="24"/>
      <c r="AW61" s="25"/>
      <c r="AX61" s="25"/>
      <c r="AY61" s="24"/>
      <c r="AZ61" s="25"/>
      <c r="BA61" s="28"/>
      <c r="BB61" s="24"/>
      <c r="BC61" s="28"/>
      <c r="BD61" s="28"/>
    </row>
    <row r="62" spans="1:56" s="311" customFormat="1" ht="63.75" customHeight="1">
      <c r="A62" s="78">
        <v>60</v>
      </c>
      <c r="B62" s="185" t="s">
        <v>341</v>
      </c>
      <c r="C62" s="100" t="s">
        <v>75</v>
      </c>
      <c r="D62" s="243" t="s">
        <v>351</v>
      </c>
      <c r="E62" s="247" t="s">
        <v>366</v>
      </c>
      <c r="F62" s="245" t="s">
        <v>353</v>
      </c>
      <c r="G62" s="246" t="s">
        <v>354</v>
      </c>
      <c r="H62" s="71" t="s">
        <v>33</v>
      </c>
      <c r="I62" s="70" t="s">
        <v>355</v>
      </c>
      <c r="J62" s="70"/>
      <c r="K62" s="28" t="s">
        <v>363</v>
      </c>
      <c r="L62" s="28" t="s">
        <v>367</v>
      </c>
      <c r="M62" s="28"/>
      <c r="N62" s="24"/>
      <c r="O62" s="24" t="s">
        <v>358</v>
      </c>
      <c r="P62" s="24" t="s">
        <v>359</v>
      </c>
      <c r="Q62" s="25"/>
      <c r="R62" s="24"/>
      <c r="S62" s="24" t="s">
        <v>360</v>
      </c>
      <c r="T62" s="24" t="s">
        <v>368</v>
      </c>
      <c r="U62" s="24"/>
      <c r="V62" s="24"/>
      <c r="W62" s="24" t="s">
        <v>360</v>
      </c>
      <c r="X62" s="24"/>
      <c r="Y62" s="25"/>
      <c r="Z62" s="24"/>
      <c r="AA62" s="24"/>
      <c r="AB62" s="24"/>
      <c r="AC62" s="25"/>
      <c r="AD62" s="28"/>
      <c r="AE62" s="25"/>
      <c r="AF62" s="24"/>
      <c r="AG62" s="26"/>
      <c r="AH62" s="24"/>
      <c r="AI62" s="25"/>
      <c r="AJ62" s="24"/>
      <c r="AK62" s="24"/>
      <c r="AL62" s="25"/>
      <c r="AM62" s="24"/>
      <c r="AN62" s="24"/>
      <c r="AO62" s="24"/>
      <c r="AP62" s="24"/>
      <c r="AQ62" s="24"/>
      <c r="AR62" s="24"/>
      <c r="AS62" s="24"/>
      <c r="AT62" s="28"/>
      <c r="AU62" s="25"/>
      <c r="AV62" s="24"/>
      <c r="AW62" s="25"/>
      <c r="AX62" s="25"/>
      <c r="AY62" s="24"/>
      <c r="AZ62" s="25"/>
      <c r="BA62" s="28"/>
      <c r="BB62" s="24"/>
      <c r="BC62" s="28"/>
      <c r="BD62" s="28"/>
    </row>
    <row r="63" spans="1:56" s="311" customFormat="1" ht="63.75" customHeight="1">
      <c r="A63" s="78">
        <v>61</v>
      </c>
      <c r="B63" s="185" t="s">
        <v>341</v>
      </c>
      <c r="C63" s="100" t="s">
        <v>75</v>
      </c>
      <c r="D63" s="243" t="s">
        <v>351</v>
      </c>
      <c r="E63" s="247" t="s">
        <v>369</v>
      </c>
      <c r="F63" s="245" t="s">
        <v>370</v>
      </c>
      <c r="G63" s="246" t="s">
        <v>354</v>
      </c>
      <c r="H63" s="71" t="s">
        <v>33</v>
      </c>
      <c r="I63" s="70" t="s">
        <v>355</v>
      </c>
      <c r="J63" s="70"/>
      <c r="K63" s="28" t="s">
        <v>371</v>
      </c>
      <c r="L63" s="28" t="s">
        <v>372</v>
      </c>
      <c r="M63" s="28"/>
      <c r="N63" s="24"/>
      <c r="O63" s="24" t="s">
        <v>358</v>
      </c>
      <c r="P63" s="24" t="s">
        <v>373</v>
      </c>
      <c r="Q63" s="25"/>
      <c r="R63" s="25"/>
      <c r="S63" s="25" t="s">
        <v>374</v>
      </c>
      <c r="T63" s="24" t="s">
        <v>375</v>
      </c>
      <c r="U63" s="24"/>
      <c r="V63" s="24"/>
      <c r="W63" s="25" t="s">
        <v>374</v>
      </c>
      <c r="X63" s="24"/>
      <c r="Y63" s="25"/>
      <c r="Z63" s="24"/>
      <c r="AA63" s="24"/>
      <c r="AB63" s="24"/>
      <c r="AC63" s="25"/>
      <c r="AD63" s="28"/>
      <c r="AE63" s="25"/>
      <c r="AF63" s="24"/>
      <c r="AG63" s="26"/>
      <c r="AH63" s="24"/>
      <c r="AI63" s="25"/>
      <c r="AJ63" s="24"/>
      <c r="AK63" s="24"/>
      <c r="AL63" s="25"/>
      <c r="AM63" s="24"/>
      <c r="AN63" s="24"/>
      <c r="AO63" s="24"/>
      <c r="AP63" s="24"/>
      <c r="AQ63" s="24"/>
      <c r="AR63" s="24"/>
      <c r="AS63" s="24"/>
      <c r="AT63" s="28"/>
      <c r="AU63" s="25"/>
      <c r="AV63" s="24"/>
      <c r="AW63" s="25"/>
      <c r="AX63" s="25"/>
      <c r="AY63" s="24"/>
      <c r="AZ63" s="25"/>
      <c r="BA63" s="28"/>
      <c r="BB63" s="24"/>
      <c r="BC63" s="28"/>
      <c r="BD63" s="28"/>
    </row>
    <row r="64" spans="1:56" s="311" customFormat="1" ht="63.75" customHeight="1">
      <c r="A64" s="64">
        <v>62</v>
      </c>
      <c r="B64" s="185" t="s">
        <v>341</v>
      </c>
      <c r="C64" s="100" t="s">
        <v>75</v>
      </c>
      <c r="D64" s="243" t="s">
        <v>351</v>
      </c>
      <c r="E64" s="244" t="s">
        <v>376</v>
      </c>
      <c r="F64" s="245" t="s">
        <v>370</v>
      </c>
      <c r="G64" s="246" t="s">
        <v>354</v>
      </c>
      <c r="H64" s="71" t="s">
        <v>33</v>
      </c>
      <c r="I64" s="70" t="s">
        <v>355</v>
      </c>
      <c r="J64" s="70"/>
      <c r="K64" s="28" t="s">
        <v>363</v>
      </c>
      <c r="L64" s="28" t="s">
        <v>367</v>
      </c>
      <c r="M64" s="28"/>
      <c r="N64" s="24"/>
      <c r="O64" s="24" t="s">
        <v>358</v>
      </c>
      <c r="P64" s="24" t="s">
        <v>377</v>
      </c>
      <c r="Q64" s="25"/>
      <c r="R64" s="25"/>
      <c r="S64" s="25" t="s">
        <v>374</v>
      </c>
      <c r="T64" s="24" t="s">
        <v>378</v>
      </c>
      <c r="U64" s="24"/>
      <c r="V64" s="24"/>
      <c r="W64" s="25"/>
      <c r="X64" s="24"/>
      <c r="Y64" s="25"/>
      <c r="Z64" s="24"/>
      <c r="AA64" s="24"/>
      <c r="AB64" s="24"/>
      <c r="AC64" s="25"/>
      <c r="AD64" s="28"/>
      <c r="AE64" s="25"/>
      <c r="AF64" s="24"/>
      <c r="AG64" s="26"/>
      <c r="AH64" s="24"/>
      <c r="AI64" s="25"/>
      <c r="AJ64" s="24"/>
      <c r="AK64" s="24"/>
      <c r="AL64" s="25"/>
      <c r="AM64" s="24"/>
      <c r="AN64" s="24"/>
      <c r="AO64" s="24"/>
      <c r="AP64" s="24"/>
      <c r="AQ64" s="24"/>
      <c r="AR64" s="24"/>
      <c r="AS64" s="24"/>
      <c r="AT64" s="28"/>
      <c r="AU64" s="25"/>
      <c r="AV64" s="24"/>
      <c r="AW64" s="25"/>
      <c r="AX64" s="25"/>
      <c r="AY64" s="24"/>
      <c r="AZ64" s="25"/>
      <c r="BA64" s="28"/>
      <c r="BB64" s="24"/>
      <c r="BC64" s="28"/>
      <c r="BD64" s="28"/>
    </row>
    <row r="65" spans="1:56" s="311" customFormat="1" ht="63.75" customHeight="1">
      <c r="A65" s="170">
        <v>63</v>
      </c>
      <c r="B65" s="185" t="s">
        <v>341</v>
      </c>
      <c r="C65" s="100" t="s">
        <v>75</v>
      </c>
      <c r="D65" s="243" t="s">
        <v>351</v>
      </c>
      <c r="E65" s="248" t="s">
        <v>379</v>
      </c>
      <c r="F65" s="245" t="s">
        <v>380</v>
      </c>
      <c r="G65" s="246" t="s">
        <v>354</v>
      </c>
      <c r="H65" s="71" t="s">
        <v>33</v>
      </c>
      <c r="I65" s="70" t="s">
        <v>355</v>
      </c>
      <c r="J65" s="70"/>
      <c r="K65" s="28" t="s">
        <v>374</v>
      </c>
      <c r="L65" s="92" t="s">
        <v>381</v>
      </c>
      <c r="M65" s="28"/>
      <c r="N65" s="25"/>
      <c r="O65" s="25" t="s">
        <v>374</v>
      </c>
      <c r="P65" s="24" t="s">
        <v>382</v>
      </c>
      <c r="Q65" s="25"/>
      <c r="R65" s="25"/>
      <c r="S65" s="25" t="s">
        <v>374</v>
      </c>
      <c r="T65" s="24" t="s">
        <v>383</v>
      </c>
      <c r="U65" s="24"/>
      <c r="V65" s="24"/>
      <c r="W65" s="25" t="s">
        <v>374</v>
      </c>
      <c r="X65" s="24"/>
      <c r="Y65" s="25"/>
      <c r="Z65" s="24"/>
      <c r="AA65" s="24"/>
      <c r="AB65" s="24"/>
      <c r="AC65" s="25"/>
      <c r="AD65" s="28"/>
      <c r="AE65" s="25"/>
      <c r="AF65" s="24"/>
      <c r="AG65" s="26"/>
      <c r="AH65" s="24"/>
      <c r="AI65" s="25"/>
      <c r="AJ65" s="24"/>
      <c r="AK65" s="24"/>
      <c r="AL65" s="25"/>
      <c r="AM65" s="24"/>
      <c r="AN65" s="24"/>
      <c r="AO65" s="24"/>
      <c r="AP65" s="24"/>
      <c r="AQ65" s="24"/>
      <c r="AR65" s="24"/>
      <c r="AS65" s="24"/>
      <c r="AT65" s="28"/>
      <c r="AU65" s="25"/>
      <c r="AV65" s="24"/>
      <c r="AW65" s="25"/>
      <c r="AX65" s="25"/>
      <c r="AY65" s="24"/>
      <c r="AZ65" s="25"/>
      <c r="BA65" s="28"/>
      <c r="BB65" s="24"/>
      <c r="BC65" s="28"/>
      <c r="BD65" s="28"/>
    </row>
    <row r="66" spans="1:56" s="311" customFormat="1" ht="63.75" customHeight="1">
      <c r="A66" s="78">
        <v>64</v>
      </c>
      <c r="B66" s="185" t="s">
        <v>341</v>
      </c>
      <c r="C66" s="100" t="s">
        <v>75</v>
      </c>
      <c r="D66" s="243" t="s">
        <v>351</v>
      </c>
      <c r="E66" s="247" t="s">
        <v>384</v>
      </c>
      <c r="F66" s="245" t="s">
        <v>380</v>
      </c>
      <c r="G66" s="246" t="s">
        <v>354</v>
      </c>
      <c r="H66" s="71" t="s">
        <v>33</v>
      </c>
      <c r="I66" s="70" t="s">
        <v>355</v>
      </c>
      <c r="J66" s="70"/>
      <c r="K66" s="28" t="s">
        <v>374</v>
      </c>
      <c r="L66" s="28" t="s">
        <v>385</v>
      </c>
      <c r="M66" s="28"/>
      <c r="N66" s="25"/>
      <c r="O66" s="25" t="s">
        <v>374</v>
      </c>
      <c r="P66" s="24" t="s">
        <v>386</v>
      </c>
      <c r="Q66" s="25"/>
      <c r="R66" s="25"/>
      <c r="S66" s="25" t="s">
        <v>374</v>
      </c>
      <c r="T66" s="24" t="s">
        <v>387</v>
      </c>
      <c r="U66" s="24"/>
      <c r="V66" s="24"/>
      <c r="W66" s="25" t="s">
        <v>374</v>
      </c>
      <c r="X66" s="24"/>
      <c r="Y66" s="25"/>
      <c r="Z66" s="24"/>
      <c r="AA66" s="24"/>
      <c r="AB66" s="24"/>
      <c r="AC66" s="25"/>
      <c r="AD66" s="28"/>
      <c r="AE66" s="25"/>
      <c r="AF66" s="24"/>
      <c r="AG66" s="26"/>
      <c r="AH66" s="24"/>
      <c r="AI66" s="25"/>
      <c r="AJ66" s="24"/>
      <c r="AK66" s="24"/>
      <c r="AL66" s="25"/>
      <c r="AM66" s="24"/>
      <c r="AN66" s="24"/>
      <c r="AO66" s="24"/>
      <c r="AP66" s="24"/>
      <c r="AQ66" s="24"/>
      <c r="AR66" s="24"/>
      <c r="AS66" s="24"/>
      <c r="AT66" s="28"/>
      <c r="AU66" s="25"/>
      <c r="AV66" s="24"/>
      <c r="AW66" s="25"/>
      <c r="AX66" s="25"/>
      <c r="AY66" s="24"/>
      <c r="AZ66" s="25"/>
      <c r="BA66" s="28"/>
      <c r="BB66" s="24"/>
      <c r="BC66" s="28"/>
      <c r="BD66" s="28"/>
    </row>
    <row r="67" spans="1:56" s="311" customFormat="1" ht="63.75" customHeight="1">
      <c r="A67" s="64">
        <v>65</v>
      </c>
      <c r="B67" s="185" t="s">
        <v>341</v>
      </c>
      <c r="C67" s="100" t="s">
        <v>75</v>
      </c>
      <c r="D67" s="249" t="s">
        <v>351</v>
      </c>
      <c r="E67" s="247" t="s">
        <v>388</v>
      </c>
      <c r="F67" s="245" t="s">
        <v>380</v>
      </c>
      <c r="G67" s="246" t="s">
        <v>354</v>
      </c>
      <c r="H67" s="71" t="s">
        <v>33</v>
      </c>
      <c r="I67" s="70" t="s">
        <v>355</v>
      </c>
      <c r="J67" s="70"/>
      <c r="K67" s="28" t="s">
        <v>374</v>
      </c>
      <c r="L67" s="28" t="s">
        <v>385</v>
      </c>
      <c r="M67" s="28"/>
      <c r="N67" s="25"/>
      <c r="O67" s="25" t="s">
        <v>374</v>
      </c>
      <c r="P67" s="24" t="s">
        <v>386</v>
      </c>
      <c r="Q67" s="25"/>
      <c r="R67" s="25"/>
      <c r="S67" s="25" t="s">
        <v>374</v>
      </c>
      <c r="T67" s="24" t="s">
        <v>387</v>
      </c>
      <c r="U67" s="24"/>
      <c r="V67" s="24"/>
      <c r="W67" s="25" t="s">
        <v>374</v>
      </c>
      <c r="X67" s="24"/>
      <c r="Y67" s="25"/>
      <c r="Z67" s="24"/>
      <c r="AA67" s="24"/>
      <c r="AB67" s="24"/>
      <c r="AC67" s="25"/>
      <c r="AD67" s="28"/>
      <c r="AE67" s="25"/>
      <c r="AF67" s="24"/>
      <c r="AG67" s="26"/>
      <c r="AH67" s="24"/>
      <c r="AI67" s="25"/>
      <c r="AJ67" s="24"/>
      <c r="AK67" s="24"/>
      <c r="AL67" s="25"/>
      <c r="AM67" s="24"/>
      <c r="AN67" s="24"/>
      <c r="AO67" s="24"/>
      <c r="AP67" s="24"/>
      <c r="AQ67" s="24"/>
      <c r="AR67" s="24"/>
      <c r="AS67" s="24"/>
      <c r="AT67" s="28"/>
      <c r="AU67" s="25"/>
      <c r="AV67" s="24"/>
      <c r="AW67" s="25"/>
      <c r="AX67" s="25"/>
      <c r="AY67" s="24"/>
      <c r="AZ67" s="25"/>
      <c r="BA67" s="28"/>
      <c r="BB67" s="24"/>
      <c r="BC67" s="28"/>
      <c r="BD67" s="28"/>
    </row>
    <row r="68" spans="1:56" s="311" customFormat="1" ht="103.5" customHeight="1">
      <c r="A68" s="76">
        <v>66</v>
      </c>
      <c r="B68" s="241" t="s">
        <v>341</v>
      </c>
      <c r="C68" s="250" t="s">
        <v>75</v>
      </c>
      <c r="D68" s="251" t="s">
        <v>389</v>
      </c>
      <c r="E68" s="252" t="s">
        <v>390</v>
      </c>
      <c r="F68" s="253" t="s">
        <v>391</v>
      </c>
      <c r="G68" s="254" t="s">
        <v>1634</v>
      </c>
      <c r="H68" s="71" t="s">
        <v>33</v>
      </c>
      <c r="I68" s="70" t="s">
        <v>88</v>
      </c>
      <c r="J68" s="70"/>
      <c r="K68" s="28"/>
      <c r="L68" s="92"/>
      <c r="M68" s="28"/>
      <c r="N68" s="25"/>
      <c r="O68" s="25"/>
      <c r="P68" s="24"/>
      <c r="Q68" s="25"/>
      <c r="R68" s="24"/>
      <c r="S68" s="24"/>
      <c r="T68" s="24" t="s">
        <v>392</v>
      </c>
      <c r="U68" s="24"/>
      <c r="V68" s="24"/>
      <c r="W68" s="24" t="s">
        <v>393</v>
      </c>
      <c r="X68" s="24"/>
      <c r="Y68" s="25"/>
      <c r="Z68" s="25"/>
      <c r="AA68" s="24"/>
      <c r="AB68" s="24"/>
      <c r="AC68" s="25"/>
      <c r="AD68" s="28"/>
      <c r="AE68" s="25"/>
      <c r="AF68" s="24"/>
      <c r="AG68" s="26"/>
      <c r="AH68" s="25"/>
      <c r="AI68" s="25"/>
      <c r="AJ68" s="24"/>
      <c r="AK68" s="25"/>
      <c r="AL68" s="25"/>
      <c r="AM68" s="24"/>
      <c r="AN68" s="24"/>
      <c r="AO68" s="25"/>
      <c r="AP68" s="24"/>
      <c r="AQ68" s="24"/>
      <c r="AR68" s="24"/>
      <c r="AS68" s="24"/>
      <c r="AT68" s="28"/>
      <c r="AU68" s="25"/>
      <c r="AV68" s="24"/>
      <c r="AW68" s="24"/>
      <c r="AX68" s="25"/>
      <c r="AY68" s="24"/>
      <c r="AZ68" s="24"/>
      <c r="BA68" s="28"/>
      <c r="BB68" s="24"/>
      <c r="BC68" s="28"/>
      <c r="BD68" s="28"/>
    </row>
    <row r="69" spans="1:56" s="311" customFormat="1" ht="75.75" customHeight="1">
      <c r="A69" s="78">
        <v>67</v>
      </c>
      <c r="B69" s="185" t="s">
        <v>341</v>
      </c>
      <c r="C69" s="255"/>
      <c r="D69" s="256" t="s">
        <v>394</v>
      </c>
      <c r="E69" s="257" t="s">
        <v>395</v>
      </c>
      <c r="F69" s="257" t="s">
        <v>396</v>
      </c>
      <c r="G69" s="246" t="s">
        <v>354</v>
      </c>
      <c r="H69" s="71" t="s">
        <v>33</v>
      </c>
      <c r="I69" s="70" t="s">
        <v>34</v>
      </c>
      <c r="J69" s="70"/>
      <c r="K69" s="28" t="s">
        <v>397</v>
      </c>
      <c r="L69" s="92" t="s">
        <v>398</v>
      </c>
      <c r="M69" s="28"/>
      <c r="N69" s="25"/>
      <c r="O69" s="25" t="s">
        <v>397</v>
      </c>
      <c r="P69" s="24" t="s">
        <v>399</v>
      </c>
      <c r="Q69" s="25"/>
      <c r="R69" s="25"/>
      <c r="S69" s="25" t="s">
        <v>397</v>
      </c>
      <c r="T69" s="24" t="s">
        <v>400</v>
      </c>
      <c r="U69" s="24"/>
      <c r="V69" s="24"/>
      <c r="W69" s="25" t="s">
        <v>397</v>
      </c>
      <c r="X69" s="24"/>
      <c r="Y69" s="25"/>
      <c r="Z69" s="25"/>
      <c r="AA69" s="24"/>
      <c r="AB69" s="24"/>
      <c r="AC69" s="25"/>
      <c r="AD69" s="28"/>
      <c r="AE69" s="25"/>
      <c r="AF69" s="24"/>
      <c r="AG69" s="26"/>
      <c r="AH69" s="25"/>
      <c r="AI69" s="25"/>
      <c r="AJ69" s="24"/>
      <c r="AK69" s="25"/>
      <c r="AL69" s="25"/>
      <c r="AM69" s="24"/>
      <c r="AN69" s="24"/>
      <c r="AO69" s="25"/>
      <c r="AP69" s="24"/>
      <c r="AQ69" s="24"/>
      <c r="AR69" s="24"/>
      <c r="AS69" s="24"/>
      <c r="AT69" s="28"/>
      <c r="AU69" s="25"/>
      <c r="AV69" s="24"/>
      <c r="AW69" s="24"/>
      <c r="AX69" s="25"/>
      <c r="AY69" s="24"/>
      <c r="AZ69" s="24"/>
      <c r="BA69" s="28"/>
      <c r="BB69" s="24"/>
      <c r="BC69" s="28"/>
      <c r="BD69" s="28"/>
    </row>
    <row r="70" spans="1:56" s="311" customFormat="1" ht="136.5" customHeight="1">
      <c r="A70" s="64">
        <v>68</v>
      </c>
      <c r="B70" s="241" t="s">
        <v>341</v>
      </c>
      <c r="C70" s="100" t="s">
        <v>75</v>
      </c>
      <c r="D70" s="258" t="s">
        <v>401</v>
      </c>
      <c r="E70" s="257"/>
      <c r="F70" s="88" t="s">
        <v>402</v>
      </c>
      <c r="G70" s="246" t="s">
        <v>354</v>
      </c>
      <c r="H70" s="71" t="s">
        <v>33</v>
      </c>
      <c r="I70" s="70"/>
      <c r="J70" s="70"/>
      <c r="K70" s="28" t="s">
        <v>403</v>
      </c>
      <c r="L70" s="92" t="s">
        <v>404</v>
      </c>
      <c r="M70" s="28"/>
      <c r="N70" s="25"/>
      <c r="O70" s="25" t="s">
        <v>403</v>
      </c>
      <c r="P70" s="24"/>
      <c r="Q70" s="25"/>
      <c r="R70" s="24"/>
      <c r="S70" s="24"/>
      <c r="T70" s="24"/>
      <c r="U70" s="24"/>
      <c r="V70" s="24"/>
      <c r="W70" s="24"/>
      <c r="X70" s="24"/>
      <c r="Y70" s="25"/>
      <c r="Z70" s="24"/>
      <c r="AA70" s="24"/>
      <c r="AB70" s="25"/>
      <c r="AC70" s="25"/>
      <c r="AD70" s="28"/>
      <c r="AE70" s="25"/>
      <c r="AF70" s="24"/>
      <c r="AG70" s="26"/>
      <c r="AH70" s="25"/>
      <c r="AI70" s="25"/>
      <c r="AJ70" s="24"/>
      <c r="AK70" s="24"/>
      <c r="AL70" s="25"/>
      <c r="AM70" s="24"/>
      <c r="AN70" s="24"/>
      <c r="AO70" s="24"/>
      <c r="AP70" s="24"/>
      <c r="AQ70" s="25"/>
      <c r="AR70" s="24"/>
      <c r="AS70" s="24"/>
      <c r="AT70" s="92"/>
      <c r="AU70" s="25"/>
      <c r="AV70" s="24"/>
      <c r="AW70" s="24"/>
      <c r="AX70" s="25"/>
      <c r="AY70" s="24"/>
      <c r="AZ70" s="24"/>
      <c r="BA70" s="28"/>
      <c r="BB70" s="24"/>
      <c r="BC70" s="28"/>
      <c r="BD70" s="28"/>
    </row>
    <row r="71" spans="1:56" s="311" customFormat="1" ht="42.75">
      <c r="A71" s="259">
        <v>69</v>
      </c>
      <c r="B71" s="185" t="s">
        <v>341</v>
      </c>
      <c r="C71" s="185"/>
      <c r="D71" s="256" t="s">
        <v>405</v>
      </c>
      <c r="E71" s="252" t="s">
        <v>406</v>
      </c>
      <c r="F71" s="253"/>
      <c r="G71" s="246" t="s">
        <v>354</v>
      </c>
      <c r="H71" s="71" t="s">
        <v>33</v>
      </c>
      <c r="I71" s="70" t="s">
        <v>34</v>
      </c>
      <c r="J71" s="70"/>
      <c r="K71" s="92"/>
      <c r="L71" s="92"/>
      <c r="M71" s="28"/>
      <c r="N71" s="24"/>
      <c r="O71" s="24"/>
      <c r="P71" s="24" t="s">
        <v>407</v>
      </c>
      <c r="Q71" s="25"/>
      <c r="R71" s="24"/>
      <c r="S71" s="24" t="s">
        <v>408</v>
      </c>
      <c r="T71" s="24" t="s">
        <v>409</v>
      </c>
      <c r="U71" s="24"/>
      <c r="V71" s="24"/>
      <c r="W71" s="24" t="s">
        <v>408</v>
      </c>
      <c r="X71" s="24"/>
      <c r="Y71" s="25"/>
      <c r="Z71" s="24"/>
      <c r="AA71" s="24"/>
      <c r="AB71" s="24"/>
      <c r="AC71" s="25"/>
      <c r="AD71" s="28"/>
      <c r="AE71" s="25"/>
      <c r="AF71" s="24"/>
      <c r="AG71" s="26"/>
      <c r="AH71" s="24"/>
      <c r="AI71" s="25"/>
      <c r="AJ71" s="24"/>
      <c r="AK71" s="24"/>
      <c r="AL71" s="25"/>
      <c r="AM71" s="24"/>
      <c r="AN71" s="24"/>
      <c r="AO71" s="24"/>
      <c r="AP71" s="24"/>
      <c r="AQ71" s="24"/>
      <c r="AR71" s="24"/>
      <c r="AS71" s="24"/>
      <c r="AT71" s="28"/>
      <c r="AU71" s="25"/>
      <c r="AV71" s="24"/>
      <c r="AW71" s="25"/>
      <c r="AX71" s="25"/>
      <c r="AY71" s="24"/>
      <c r="AZ71" s="25"/>
      <c r="BA71" s="28"/>
      <c r="BB71" s="24"/>
      <c r="BC71" s="28"/>
      <c r="BD71" s="28"/>
    </row>
    <row r="72" spans="1:56" s="311" customFormat="1" ht="294" customHeight="1">
      <c r="A72" s="78">
        <v>70</v>
      </c>
      <c r="B72" s="241" t="s">
        <v>341</v>
      </c>
      <c r="C72" s="100" t="s">
        <v>75</v>
      </c>
      <c r="D72" s="260" t="s">
        <v>410</v>
      </c>
      <c r="E72" s="257" t="s">
        <v>411</v>
      </c>
      <c r="F72" s="88" t="s">
        <v>1635</v>
      </c>
      <c r="G72" s="246" t="s">
        <v>412</v>
      </c>
      <c r="H72" s="71" t="s">
        <v>33</v>
      </c>
      <c r="I72" s="70" t="s">
        <v>88</v>
      </c>
      <c r="J72" s="70"/>
      <c r="K72" s="92" t="s">
        <v>413</v>
      </c>
      <c r="L72" s="92" t="s">
        <v>414</v>
      </c>
      <c r="M72" s="28"/>
      <c r="N72" s="24"/>
      <c r="O72" s="24" t="s">
        <v>415</v>
      </c>
      <c r="P72" s="24" t="s">
        <v>416</v>
      </c>
      <c r="Q72" s="25"/>
      <c r="R72" s="24"/>
      <c r="S72" s="24" t="s">
        <v>417</v>
      </c>
      <c r="T72" s="24" t="s">
        <v>418</v>
      </c>
      <c r="U72" s="24"/>
      <c r="V72" s="24"/>
      <c r="W72" s="24" t="s">
        <v>419</v>
      </c>
      <c r="X72" s="24"/>
      <c r="Y72" s="25"/>
      <c r="Z72" s="24"/>
      <c r="AA72" s="24"/>
      <c r="AB72" s="24"/>
      <c r="AC72" s="25"/>
      <c r="AD72" s="28"/>
      <c r="AE72" s="25"/>
      <c r="AF72" s="24"/>
      <c r="AG72" s="26"/>
      <c r="AH72" s="24"/>
      <c r="AI72" s="25"/>
      <c r="AJ72" s="24"/>
      <c r="AK72" s="24"/>
      <c r="AL72" s="25"/>
      <c r="AM72" s="24"/>
      <c r="AN72" s="24"/>
      <c r="AO72" s="24"/>
      <c r="AP72" s="24"/>
      <c r="AQ72" s="24"/>
      <c r="AR72" s="24"/>
      <c r="AS72" s="24"/>
      <c r="AT72" s="28"/>
      <c r="AU72" s="25"/>
      <c r="AV72" s="24"/>
      <c r="AW72" s="25"/>
      <c r="AX72" s="25"/>
      <c r="AY72" s="24"/>
      <c r="AZ72" s="25"/>
      <c r="BA72" s="28"/>
      <c r="BB72" s="24"/>
      <c r="BC72" s="28"/>
      <c r="BD72" s="28"/>
    </row>
    <row r="73" spans="1:56" s="311" customFormat="1" ht="71.25">
      <c r="A73" s="64">
        <v>71</v>
      </c>
      <c r="B73" s="241" t="s">
        <v>341</v>
      </c>
      <c r="C73" s="225"/>
      <c r="D73" s="251" t="s">
        <v>420</v>
      </c>
      <c r="E73" s="257"/>
      <c r="F73" s="88" t="s">
        <v>1636</v>
      </c>
      <c r="G73" s="246" t="s">
        <v>421</v>
      </c>
      <c r="H73" s="71" t="s">
        <v>33</v>
      </c>
      <c r="I73" s="70" t="s">
        <v>88</v>
      </c>
      <c r="J73" s="70"/>
      <c r="K73" s="28" t="s">
        <v>422</v>
      </c>
      <c r="L73" s="92" t="s">
        <v>423</v>
      </c>
      <c r="M73" s="28"/>
      <c r="N73" s="24"/>
      <c r="O73" s="24" t="s">
        <v>424</v>
      </c>
      <c r="P73" s="24" t="s">
        <v>38</v>
      </c>
      <c r="Q73" s="25"/>
      <c r="R73" s="24"/>
      <c r="S73" s="24" t="s">
        <v>425</v>
      </c>
      <c r="T73" s="24" t="s">
        <v>426</v>
      </c>
      <c r="U73" s="24"/>
      <c r="V73" s="24"/>
      <c r="W73" s="24" t="s">
        <v>427</v>
      </c>
      <c r="X73" s="24" t="s">
        <v>428</v>
      </c>
      <c r="Y73" s="25"/>
      <c r="Z73" s="24"/>
      <c r="AA73" s="24"/>
      <c r="AB73" s="24"/>
      <c r="AC73" s="25"/>
      <c r="AD73" s="28"/>
      <c r="AE73" s="25"/>
      <c r="AF73" s="24"/>
      <c r="AG73" s="26"/>
      <c r="AH73" s="24"/>
      <c r="AI73" s="25"/>
      <c r="AJ73" s="24"/>
      <c r="AK73" s="24"/>
      <c r="AL73" s="25"/>
      <c r="AM73" s="24"/>
      <c r="AN73" s="24"/>
      <c r="AO73" s="24"/>
      <c r="AP73" s="24"/>
      <c r="AQ73" s="24"/>
      <c r="AR73" s="24"/>
      <c r="AS73" s="24"/>
      <c r="AT73" s="28"/>
      <c r="AU73" s="25"/>
      <c r="AV73" s="24"/>
      <c r="AW73" s="25"/>
      <c r="AX73" s="25"/>
      <c r="AY73" s="24"/>
      <c r="AZ73" s="25"/>
      <c r="BA73" s="28"/>
      <c r="BB73" s="24"/>
      <c r="BC73" s="28"/>
      <c r="BD73" s="28"/>
    </row>
    <row r="74" spans="1:56" s="311" customFormat="1" ht="93.75" customHeight="1">
      <c r="A74" s="76">
        <v>72</v>
      </c>
      <c r="B74" s="241" t="s">
        <v>341</v>
      </c>
      <c r="C74" s="250"/>
      <c r="D74" s="261" t="s">
        <v>429</v>
      </c>
      <c r="E74" s="257" t="s">
        <v>430</v>
      </c>
      <c r="F74" s="88" t="s">
        <v>1637</v>
      </c>
      <c r="G74" s="246" t="s">
        <v>421</v>
      </c>
      <c r="H74" s="71" t="s">
        <v>33</v>
      </c>
      <c r="I74" s="70" t="s">
        <v>88</v>
      </c>
      <c r="J74" s="70"/>
      <c r="K74" s="28" t="s">
        <v>431</v>
      </c>
      <c r="L74" s="92" t="s">
        <v>432</v>
      </c>
      <c r="M74" s="92" t="s">
        <v>433</v>
      </c>
      <c r="N74" s="24"/>
      <c r="O74" s="24" t="s">
        <v>434</v>
      </c>
      <c r="P74" s="24" t="s">
        <v>38</v>
      </c>
      <c r="Q74" s="25"/>
      <c r="R74" s="24"/>
      <c r="S74" s="24" t="s">
        <v>435</v>
      </c>
      <c r="T74" s="24" t="s">
        <v>436</v>
      </c>
      <c r="U74" s="24"/>
      <c r="V74" s="24"/>
      <c r="W74" s="24" t="s">
        <v>437</v>
      </c>
      <c r="X74" s="24" t="s">
        <v>438</v>
      </c>
      <c r="Y74" s="25"/>
      <c r="Z74" s="92"/>
      <c r="AA74" s="24"/>
      <c r="AB74" s="25"/>
      <c r="AC74" s="25"/>
      <c r="AD74" s="28"/>
      <c r="AE74" s="28"/>
      <c r="AF74" s="24"/>
      <c r="AG74" s="26"/>
      <c r="AH74" s="28"/>
      <c r="AI74" s="25"/>
      <c r="AJ74" s="24"/>
      <c r="AK74" s="24"/>
      <c r="AL74" s="25"/>
      <c r="AM74" s="24"/>
      <c r="AN74" s="24"/>
      <c r="AO74" s="24"/>
      <c r="AP74" s="25"/>
      <c r="AQ74" s="25"/>
      <c r="AR74" s="24"/>
      <c r="AS74" s="24"/>
      <c r="AT74" s="92"/>
      <c r="AU74" s="25"/>
      <c r="AV74" s="24"/>
      <c r="AW74" s="24"/>
      <c r="AX74" s="24"/>
      <c r="AY74" s="24"/>
      <c r="AZ74" s="24"/>
      <c r="BA74" s="28"/>
      <c r="BB74" s="24"/>
      <c r="BC74" s="28"/>
      <c r="BD74" s="28"/>
    </row>
    <row r="75" spans="1:56" s="311" customFormat="1" ht="45.75" customHeight="1">
      <c r="A75" s="78">
        <v>73</v>
      </c>
      <c r="B75" s="241" t="s">
        <v>341</v>
      </c>
      <c r="C75" s="250"/>
      <c r="D75" s="262" t="s">
        <v>439</v>
      </c>
      <c r="E75" s="257" t="s">
        <v>440</v>
      </c>
      <c r="F75" s="88" t="s">
        <v>1638</v>
      </c>
      <c r="G75" s="246" t="s">
        <v>421</v>
      </c>
      <c r="H75" s="71" t="s">
        <v>33</v>
      </c>
      <c r="I75" s="70"/>
      <c r="J75" s="70"/>
      <c r="K75" s="28" t="s">
        <v>431</v>
      </c>
      <c r="L75" s="28" t="s">
        <v>38</v>
      </c>
      <c r="M75" s="28"/>
      <c r="N75" s="24"/>
      <c r="O75" s="24" t="s">
        <v>441</v>
      </c>
      <c r="P75" s="24" t="s">
        <v>442</v>
      </c>
      <c r="Q75" s="25"/>
      <c r="R75" s="24"/>
      <c r="S75" s="24" t="s">
        <v>443</v>
      </c>
      <c r="T75" s="24" t="s">
        <v>38</v>
      </c>
      <c r="U75" s="24"/>
      <c r="V75" s="24"/>
      <c r="W75" s="24"/>
      <c r="X75" s="24"/>
      <c r="Y75" s="25"/>
      <c r="Z75" s="92"/>
      <c r="AA75" s="24"/>
      <c r="AB75" s="25"/>
      <c r="AC75" s="25"/>
      <c r="AD75" s="28"/>
      <c r="AE75" s="28"/>
      <c r="AF75" s="24"/>
      <c r="AG75" s="26"/>
      <c r="AH75" s="28"/>
      <c r="AI75" s="25"/>
      <c r="AJ75" s="24"/>
      <c r="AK75" s="24"/>
      <c r="AL75" s="25"/>
      <c r="AM75" s="24"/>
      <c r="AN75" s="24"/>
      <c r="AO75" s="24"/>
      <c r="AP75" s="25"/>
      <c r="AQ75" s="25"/>
      <c r="AR75" s="24"/>
      <c r="AS75" s="24"/>
      <c r="AT75" s="92"/>
      <c r="AU75" s="25"/>
      <c r="AV75" s="24"/>
      <c r="AW75" s="24"/>
      <c r="AX75" s="24"/>
      <c r="AY75" s="24"/>
      <c r="AZ75" s="24"/>
      <c r="BA75" s="28"/>
      <c r="BB75" s="24"/>
      <c r="BC75" s="28"/>
      <c r="BD75" s="28"/>
    </row>
    <row r="76" spans="1:56" s="311" customFormat="1" ht="28.5">
      <c r="A76" s="64">
        <v>74</v>
      </c>
      <c r="B76" s="241" t="s">
        <v>341</v>
      </c>
      <c r="C76" s="250"/>
      <c r="D76" s="251" t="s">
        <v>444</v>
      </c>
      <c r="E76" s="257" t="s">
        <v>445</v>
      </c>
      <c r="F76" s="88"/>
      <c r="G76" s="246" t="s">
        <v>421</v>
      </c>
      <c r="H76" s="71" t="s">
        <v>33</v>
      </c>
      <c r="I76" s="70" t="s">
        <v>34</v>
      </c>
      <c r="J76" s="70"/>
      <c r="K76" s="28"/>
      <c r="L76" s="28"/>
      <c r="M76" s="28"/>
      <c r="N76" s="24"/>
      <c r="O76" s="24"/>
      <c r="P76" s="24"/>
      <c r="Q76" s="25"/>
      <c r="R76" s="24"/>
      <c r="S76" s="24"/>
      <c r="T76" s="24"/>
      <c r="U76" s="24"/>
      <c r="V76" s="24"/>
      <c r="W76" s="26"/>
      <c r="X76" s="24"/>
      <c r="Y76" s="25"/>
      <c r="Z76" s="28"/>
      <c r="AA76" s="24"/>
      <c r="AB76" s="24"/>
      <c r="AC76" s="25"/>
      <c r="AD76" s="28"/>
      <c r="AE76" s="28"/>
      <c r="AF76" s="24"/>
      <c r="AG76" s="26"/>
      <c r="AH76" s="28"/>
      <c r="AI76" s="25"/>
      <c r="AJ76" s="24"/>
      <c r="AK76" s="25"/>
      <c r="AL76" s="25"/>
      <c r="AM76" s="24"/>
      <c r="AN76" s="24"/>
      <c r="AO76" s="25"/>
      <c r="AP76" s="24"/>
      <c r="AQ76" s="24"/>
      <c r="AR76" s="24"/>
      <c r="AS76" s="24"/>
      <c r="AT76" s="28"/>
      <c r="AU76" s="25"/>
      <c r="AV76" s="24"/>
      <c r="AW76" s="24"/>
      <c r="AX76" s="25"/>
      <c r="AY76" s="24"/>
      <c r="AZ76" s="24"/>
      <c r="BA76" s="28"/>
      <c r="BB76" s="24"/>
      <c r="BC76" s="28"/>
      <c r="BD76" s="28"/>
    </row>
    <row r="77" spans="1:56" s="311" customFormat="1" ht="156.75">
      <c r="A77" s="78">
        <v>75</v>
      </c>
      <c r="B77" s="241" t="s">
        <v>341</v>
      </c>
      <c r="C77" s="250"/>
      <c r="D77" s="251" t="s">
        <v>446</v>
      </c>
      <c r="E77" s="257"/>
      <c r="F77" s="88" t="s">
        <v>1639</v>
      </c>
      <c r="G77" s="246" t="s">
        <v>447</v>
      </c>
      <c r="H77" s="71" t="s">
        <v>33</v>
      </c>
      <c r="I77" s="70" t="s">
        <v>78</v>
      </c>
      <c r="J77" s="70"/>
      <c r="K77" s="28" t="s">
        <v>448</v>
      </c>
      <c r="L77" s="28" t="s">
        <v>449</v>
      </c>
      <c r="M77" s="28"/>
      <c r="N77" s="24"/>
      <c r="O77" s="24" t="s">
        <v>450</v>
      </c>
      <c r="P77" s="24" t="s">
        <v>451</v>
      </c>
      <c r="Q77" s="25"/>
      <c r="R77" s="24"/>
      <c r="S77" s="24" t="s">
        <v>452</v>
      </c>
      <c r="T77" s="24" t="s">
        <v>453</v>
      </c>
      <c r="U77" s="24"/>
      <c r="V77" s="24"/>
      <c r="W77" s="26" t="s">
        <v>1640</v>
      </c>
      <c r="X77" s="24"/>
      <c r="Y77" s="25"/>
      <c r="Z77" s="28"/>
      <c r="AA77" s="24"/>
      <c r="AB77" s="24"/>
      <c r="AC77" s="25"/>
      <c r="AD77" s="28"/>
      <c r="AE77" s="28"/>
      <c r="AF77" s="24"/>
      <c r="AG77" s="26"/>
      <c r="AH77" s="28"/>
      <c r="AI77" s="25"/>
      <c r="AJ77" s="24"/>
      <c r="AK77" s="25"/>
      <c r="AL77" s="25"/>
      <c r="AM77" s="24"/>
      <c r="AN77" s="24"/>
      <c r="AO77" s="25"/>
      <c r="AP77" s="24"/>
      <c r="AQ77" s="24"/>
      <c r="AR77" s="24"/>
      <c r="AS77" s="24"/>
      <c r="AT77" s="28"/>
      <c r="AU77" s="25"/>
      <c r="AV77" s="24"/>
      <c r="AW77" s="24"/>
      <c r="AX77" s="25"/>
      <c r="AY77" s="24"/>
      <c r="AZ77" s="24"/>
      <c r="BA77" s="28"/>
      <c r="BB77" s="24"/>
      <c r="BC77" s="28"/>
      <c r="BD77" s="28"/>
    </row>
    <row r="78" spans="1:56" s="311" customFormat="1" ht="71.25">
      <c r="A78" s="78">
        <v>76</v>
      </c>
      <c r="B78" s="241" t="s">
        <v>341</v>
      </c>
      <c r="C78" s="263" t="s">
        <v>75</v>
      </c>
      <c r="D78" s="158" t="s">
        <v>454</v>
      </c>
      <c r="E78" s="257" t="s">
        <v>455</v>
      </c>
      <c r="F78" s="88" t="s">
        <v>456</v>
      </c>
      <c r="G78" s="246" t="s">
        <v>457</v>
      </c>
      <c r="H78" s="71" t="s">
        <v>33</v>
      </c>
      <c r="I78" s="70" t="s">
        <v>355</v>
      </c>
      <c r="J78" s="70"/>
      <c r="K78" s="28"/>
      <c r="L78" s="92"/>
      <c r="M78" s="28"/>
      <c r="N78" s="92"/>
      <c r="O78" s="92"/>
      <c r="P78" s="92"/>
      <c r="Q78" s="28"/>
      <c r="R78" s="92"/>
      <c r="S78" s="92" t="s">
        <v>458</v>
      </c>
      <c r="T78" s="92" t="s">
        <v>459</v>
      </c>
      <c r="U78" s="92"/>
      <c r="V78" s="92"/>
      <c r="W78" s="92" t="s">
        <v>460</v>
      </c>
      <c r="X78" s="92"/>
      <c r="Y78" s="28"/>
      <c r="Z78" s="92"/>
      <c r="AA78" s="92"/>
      <c r="AB78" s="28"/>
      <c r="AC78" s="28"/>
      <c r="AD78" s="28"/>
      <c r="AE78" s="28"/>
      <c r="AF78" s="92"/>
      <c r="AG78" s="88"/>
      <c r="AH78" s="28"/>
      <c r="AI78" s="28"/>
      <c r="AJ78" s="92"/>
      <c r="AK78" s="92"/>
      <c r="AL78" s="28"/>
      <c r="AM78" s="92"/>
      <c r="AN78" s="92"/>
      <c r="AO78" s="92"/>
      <c r="AP78" s="92"/>
      <c r="AQ78" s="28"/>
      <c r="AR78" s="92"/>
      <c r="AS78" s="92"/>
      <c r="AT78" s="92"/>
      <c r="AU78" s="28"/>
      <c r="AV78" s="92"/>
      <c r="AW78" s="92"/>
      <c r="AX78" s="28"/>
      <c r="AY78" s="92"/>
      <c r="AZ78" s="92"/>
      <c r="BA78" s="28"/>
      <c r="BB78" s="92"/>
      <c r="BC78" s="28"/>
      <c r="BD78" s="28"/>
    </row>
    <row r="79" spans="1:56" s="311" customFormat="1" ht="71.25">
      <c r="A79" s="64">
        <v>77</v>
      </c>
      <c r="B79" s="185" t="s">
        <v>341</v>
      </c>
      <c r="C79" s="165" t="s">
        <v>75</v>
      </c>
      <c r="D79" s="166" t="s">
        <v>454</v>
      </c>
      <c r="E79" s="257" t="s">
        <v>461</v>
      </c>
      <c r="F79" s="88" t="s">
        <v>456</v>
      </c>
      <c r="G79" s="246" t="s">
        <v>457</v>
      </c>
      <c r="H79" s="71" t="s">
        <v>33</v>
      </c>
      <c r="I79" s="70" t="s">
        <v>355</v>
      </c>
      <c r="J79" s="70"/>
      <c r="K79" s="28"/>
      <c r="L79" s="92"/>
      <c r="M79" s="28"/>
      <c r="N79" s="92"/>
      <c r="O79" s="92"/>
      <c r="P79" s="92"/>
      <c r="Q79" s="28"/>
      <c r="R79" s="92"/>
      <c r="S79" s="92" t="s">
        <v>458</v>
      </c>
      <c r="T79" s="92" t="s">
        <v>459</v>
      </c>
      <c r="U79" s="92"/>
      <c r="V79" s="92"/>
      <c r="W79" s="92" t="s">
        <v>460</v>
      </c>
      <c r="X79" s="92"/>
      <c r="Y79" s="28"/>
      <c r="Z79" s="92"/>
      <c r="AA79" s="92"/>
      <c r="AB79" s="28"/>
      <c r="AC79" s="28"/>
      <c r="AD79" s="28"/>
      <c r="AE79" s="28"/>
      <c r="AF79" s="92"/>
      <c r="AG79" s="88"/>
      <c r="AH79" s="28"/>
      <c r="AI79" s="28"/>
      <c r="AJ79" s="92"/>
      <c r="AK79" s="92"/>
      <c r="AL79" s="28"/>
      <c r="AM79" s="92"/>
      <c r="AN79" s="92"/>
      <c r="AO79" s="92"/>
      <c r="AP79" s="92"/>
      <c r="AQ79" s="28"/>
      <c r="AR79" s="92"/>
      <c r="AS79" s="92"/>
      <c r="AT79" s="92"/>
      <c r="AU79" s="28"/>
      <c r="AV79" s="92"/>
      <c r="AW79" s="92"/>
      <c r="AX79" s="28"/>
      <c r="AY79" s="92"/>
      <c r="AZ79" s="92"/>
      <c r="BA79" s="28"/>
      <c r="BB79" s="92"/>
      <c r="BC79" s="28"/>
      <c r="BD79" s="28"/>
    </row>
    <row r="80" spans="1:56" s="311" customFormat="1" ht="71.25">
      <c r="A80" s="170">
        <v>78</v>
      </c>
      <c r="B80" s="185" t="s">
        <v>341</v>
      </c>
      <c r="C80" s="165" t="s">
        <v>75</v>
      </c>
      <c r="D80" s="166" t="s">
        <v>454</v>
      </c>
      <c r="E80" s="257" t="s">
        <v>462</v>
      </c>
      <c r="F80" s="88" t="s">
        <v>456</v>
      </c>
      <c r="G80" s="246" t="s">
        <v>457</v>
      </c>
      <c r="H80" s="71" t="s">
        <v>33</v>
      </c>
      <c r="I80" s="70" t="s">
        <v>355</v>
      </c>
      <c r="J80" s="70"/>
      <c r="K80" s="28"/>
      <c r="L80" s="92"/>
      <c r="M80" s="28"/>
      <c r="N80" s="24"/>
      <c r="O80" s="24"/>
      <c r="P80" s="24"/>
      <c r="Q80" s="25"/>
      <c r="R80" s="24"/>
      <c r="S80" s="24" t="s">
        <v>458</v>
      </c>
      <c r="T80" s="24" t="s">
        <v>459</v>
      </c>
      <c r="U80" s="24"/>
      <c r="V80" s="24"/>
      <c r="W80" s="24" t="s">
        <v>460</v>
      </c>
      <c r="X80" s="24"/>
      <c r="Y80" s="25"/>
      <c r="Z80" s="24"/>
      <c r="AA80" s="24"/>
      <c r="AB80" s="25"/>
      <c r="AC80" s="25"/>
      <c r="AD80" s="28"/>
      <c r="AE80" s="28"/>
      <c r="AF80" s="24"/>
      <c r="AG80" s="26"/>
      <c r="AH80" s="28"/>
      <c r="AI80" s="25"/>
      <c r="AJ80" s="24"/>
      <c r="AK80" s="24"/>
      <c r="AL80" s="25"/>
      <c r="AM80" s="24"/>
      <c r="AN80" s="24"/>
      <c r="AO80" s="24"/>
      <c r="AP80" s="24"/>
      <c r="AQ80" s="25"/>
      <c r="AR80" s="24"/>
      <c r="AS80" s="24"/>
      <c r="AT80" s="24"/>
      <c r="AU80" s="25"/>
      <c r="AV80" s="24"/>
      <c r="AW80" s="24"/>
      <c r="AX80" s="25"/>
      <c r="AY80" s="24"/>
      <c r="AZ80" s="24"/>
      <c r="BA80" s="28"/>
      <c r="BB80" s="24"/>
      <c r="BC80" s="28"/>
      <c r="BD80" s="28"/>
    </row>
    <row r="81" spans="1:56" s="311" customFormat="1" ht="71.25">
      <c r="A81" s="78">
        <v>79</v>
      </c>
      <c r="B81" s="185" t="s">
        <v>341</v>
      </c>
      <c r="C81" s="263" t="s">
        <v>75</v>
      </c>
      <c r="D81" s="158" t="s">
        <v>454</v>
      </c>
      <c r="E81" s="257" t="s">
        <v>463</v>
      </c>
      <c r="F81" s="88" t="s">
        <v>456</v>
      </c>
      <c r="G81" s="246" t="s">
        <v>457</v>
      </c>
      <c r="H81" s="71" t="s">
        <v>33</v>
      </c>
      <c r="I81" s="70" t="s">
        <v>355</v>
      </c>
      <c r="J81" s="70"/>
      <c r="K81" s="28"/>
      <c r="L81" s="92"/>
      <c r="M81" s="28"/>
      <c r="N81" s="24"/>
      <c r="O81" s="24"/>
      <c r="P81" s="24"/>
      <c r="Q81" s="25"/>
      <c r="R81" s="24"/>
      <c r="S81" s="24"/>
      <c r="T81" s="24"/>
      <c r="U81" s="24"/>
      <c r="V81" s="24"/>
      <c r="W81" s="24"/>
      <c r="X81" s="24"/>
      <c r="Y81" s="25"/>
      <c r="Z81" s="24"/>
      <c r="AA81" s="24"/>
      <c r="AB81" s="25"/>
      <c r="AC81" s="25"/>
      <c r="AD81" s="28"/>
      <c r="AE81" s="28"/>
      <c r="AF81" s="24"/>
      <c r="AG81" s="26"/>
      <c r="AH81" s="28"/>
      <c r="AI81" s="25"/>
      <c r="AJ81" s="24"/>
      <c r="AK81" s="24"/>
      <c r="AL81" s="25"/>
      <c r="AM81" s="24"/>
      <c r="AN81" s="24"/>
      <c r="AO81" s="24"/>
      <c r="AP81" s="24"/>
      <c r="AQ81" s="25"/>
      <c r="AR81" s="24"/>
      <c r="AS81" s="24"/>
      <c r="AT81" s="24"/>
      <c r="AU81" s="25"/>
      <c r="AV81" s="24"/>
      <c r="AW81" s="24"/>
      <c r="AX81" s="25"/>
      <c r="AY81" s="24"/>
      <c r="AZ81" s="24"/>
      <c r="BA81" s="28"/>
      <c r="BB81" s="24"/>
      <c r="BC81" s="28"/>
      <c r="BD81" s="28"/>
    </row>
    <row r="82" spans="1:56" s="311" customFormat="1" ht="71.25">
      <c r="A82" s="64">
        <v>80</v>
      </c>
      <c r="B82" s="185" t="s">
        <v>341</v>
      </c>
      <c r="C82" s="263" t="s">
        <v>75</v>
      </c>
      <c r="D82" s="158" t="s">
        <v>454</v>
      </c>
      <c r="E82" s="257" t="s">
        <v>464</v>
      </c>
      <c r="F82" s="88" t="s">
        <v>456</v>
      </c>
      <c r="G82" s="246" t="s">
        <v>457</v>
      </c>
      <c r="H82" s="71" t="s">
        <v>33</v>
      </c>
      <c r="I82" s="70" t="s">
        <v>355</v>
      </c>
      <c r="J82" s="70"/>
      <c r="K82" s="28"/>
      <c r="L82" s="92"/>
      <c r="M82" s="28"/>
      <c r="N82" s="24"/>
      <c r="O82" s="24"/>
      <c r="P82" s="24"/>
      <c r="Q82" s="25"/>
      <c r="R82" s="24"/>
      <c r="S82" s="24" t="s">
        <v>458</v>
      </c>
      <c r="T82" s="24" t="s">
        <v>459</v>
      </c>
      <c r="U82" s="24"/>
      <c r="V82" s="24"/>
      <c r="W82" s="24" t="s">
        <v>460</v>
      </c>
      <c r="X82" s="24"/>
      <c r="Y82" s="25"/>
      <c r="Z82" s="24"/>
      <c r="AA82" s="24"/>
      <c r="AB82" s="25"/>
      <c r="AC82" s="25"/>
      <c r="AD82" s="28"/>
      <c r="AE82" s="28"/>
      <c r="AF82" s="24"/>
      <c r="AG82" s="26"/>
      <c r="AH82" s="28"/>
      <c r="AI82" s="25"/>
      <c r="AJ82" s="24"/>
      <c r="AK82" s="24"/>
      <c r="AL82" s="25"/>
      <c r="AM82" s="24"/>
      <c r="AN82" s="24"/>
      <c r="AO82" s="24"/>
      <c r="AP82" s="24"/>
      <c r="AQ82" s="25"/>
      <c r="AR82" s="24"/>
      <c r="AS82" s="24"/>
      <c r="AT82" s="24"/>
      <c r="AU82" s="25"/>
      <c r="AV82" s="24"/>
      <c r="AW82" s="24"/>
      <c r="AX82" s="25"/>
      <c r="AY82" s="24"/>
      <c r="AZ82" s="24"/>
      <c r="BA82" s="28"/>
      <c r="BB82" s="24"/>
      <c r="BC82" s="28"/>
      <c r="BD82" s="28"/>
    </row>
    <row r="83" spans="1:56" s="311" customFormat="1" ht="71.25">
      <c r="A83" s="259">
        <v>81</v>
      </c>
      <c r="B83" s="185" t="s">
        <v>341</v>
      </c>
      <c r="C83" s="263" t="s">
        <v>75</v>
      </c>
      <c r="D83" s="158" t="s">
        <v>454</v>
      </c>
      <c r="E83" s="257" t="s">
        <v>465</v>
      </c>
      <c r="F83" s="88" t="s">
        <v>466</v>
      </c>
      <c r="G83" s="246" t="s">
        <v>457</v>
      </c>
      <c r="H83" s="71" t="s">
        <v>33</v>
      </c>
      <c r="I83" s="70" t="s">
        <v>355</v>
      </c>
      <c r="J83" s="70"/>
      <c r="K83" s="28"/>
      <c r="L83" s="92"/>
      <c r="M83" s="28"/>
      <c r="N83" s="24"/>
      <c r="O83" s="24"/>
      <c r="P83" s="24"/>
      <c r="Q83" s="25"/>
      <c r="R83" s="264"/>
      <c r="S83" s="264"/>
      <c r="T83" s="24"/>
      <c r="U83" s="24"/>
      <c r="V83" s="24"/>
      <c r="W83" s="24"/>
      <c r="X83" s="24"/>
      <c r="Y83" s="25"/>
      <c r="Z83" s="24"/>
      <c r="AA83" s="24"/>
      <c r="AB83" s="25"/>
      <c r="AC83" s="25"/>
      <c r="AD83" s="28"/>
      <c r="AE83" s="28"/>
      <c r="AF83" s="24"/>
      <c r="AG83" s="26"/>
      <c r="AH83" s="28"/>
      <c r="AI83" s="25"/>
      <c r="AJ83" s="24"/>
      <c r="AK83" s="24"/>
      <c r="AL83" s="25"/>
      <c r="AM83" s="24"/>
      <c r="AN83" s="24"/>
      <c r="AO83" s="24"/>
      <c r="AP83" s="24"/>
      <c r="AQ83" s="25"/>
      <c r="AR83" s="24"/>
      <c r="AS83" s="24"/>
      <c r="AT83" s="24"/>
      <c r="AU83" s="25"/>
      <c r="AV83" s="24"/>
      <c r="AW83" s="24"/>
      <c r="AX83" s="25"/>
      <c r="AY83" s="24"/>
      <c r="AZ83" s="24"/>
      <c r="BA83" s="28"/>
      <c r="BB83" s="24"/>
      <c r="BC83" s="28"/>
      <c r="BD83" s="28"/>
    </row>
    <row r="84" spans="1:56" s="311" customFormat="1" ht="71.25">
      <c r="A84" s="78">
        <v>82</v>
      </c>
      <c r="B84" s="185" t="s">
        <v>341</v>
      </c>
      <c r="C84" s="263" t="s">
        <v>75</v>
      </c>
      <c r="D84" s="158" t="s">
        <v>454</v>
      </c>
      <c r="E84" s="257" t="s">
        <v>467</v>
      </c>
      <c r="F84" s="88" t="s">
        <v>466</v>
      </c>
      <c r="G84" s="246" t="s">
        <v>457</v>
      </c>
      <c r="H84" s="71" t="s">
        <v>33</v>
      </c>
      <c r="I84" s="70" t="s">
        <v>355</v>
      </c>
      <c r="J84" s="70"/>
      <c r="K84" s="28"/>
      <c r="L84" s="92"/>
      <c r="M84" s="28"/>
      <c r="N84" s="24"/>
      <c r="O84" s="24"/>
      <c r="P84" s="24"/>
      <c r="Q84" s="25"/>
      <c r="R84" s="264"/>
      <c r="S84" s="264"/>
      <c r="T84" s="24"/>
      <c r="U84" s="24"/>
      <c r="V84" s="24"/>
      <c r="W84" s="24"/>
      <c r="X84" s="24"/>
      <c r="Y84" s="25"/>
      <c r="Z84" s="24"/>
      <c r="AA84" s="24"/>
      <c r="AB84" s="25"/>
      <c r="AC84" s="25"/>
      <c r="AD84" s="28"/>
      <c r="AE84" s="28"/>
      <c r="AF84" s="24"/>
      <c r="AG84" s="26"/>
      <c r="AH84" s="28"/>
      <c r="AI84" s="25"/>
      <c r="AJ84" s="24"/>
      <c r="AK84" s="24"/>
      <c r="AL84" s="25"/>
      <c r="AM84" s="24"/>
      <c r="AN84" s="24"/>
      <c r="AO84" s="24"/>
      <c r="AP84" s="24"/>
      <c r="AQ84" s="25"/>
      <c r="AR84" s="24"/>
      <c r="AS84" s="24"/>
      <c r="AT84" s="24"/>
      <c r="AU84" s="25"/>
      <c r="AV84" s="24"/>
      <c r="AW84" s="24"/>
      <c r="AX84" s="25"/>
      <c r="AY84" s="24"/>
      <c r="AZ84" s="24"/>
      <c r="BA84" s="28"/>
      <c r="BB84" s="24"/>
      <c r="BC84" s="28"/>
      <c r="BD84" s="28"/>
    </row>
    <row r="85" spans="1:56" s="311" customFormat="1" ht="71.25">
      <c r="A85" s="64">
        <v>83</v>
      </c>
      <c r="B85" s="185" t="s">
        <v>341</v>
      </c>
      <c r="C85" s="150" t="s">
        <v>75</v>
      </c>
      <c r="D85" s="171" t="s">
        <v>454</v>
      </c>
      <c r="E85" s="257" t="s">
        <v>468</v>
      </c>
      <c r="F85" s="88" t="s">
        <v>1641</v>
      </c>
      <c r="G85" s="246" t="s">
        <v>457</v>
      </c>
      <c r="H85" s="71" t="s">
        <v>33</v>
      </c>
      <c r="I85" s="89" t="s">
        <v>355</v>
      </c>
      <c r="J85" s="89"/>
      <c r="K85" s="28" t="s">
        <v>469</v>
      </c>
      <c r="L85" s="92" t="s">
        <v>470</v>
      </c>
      <c r="M85" s="28"/>
      <c r="N85" s="24"/>
      <c r="O85" s="24" t="s">
        <v>471</v>
      </c>
      <c r="P85" s="24" t="s">
        <v>472</v>
      </c>
      <c r="Q85" s="25"/>
      <c r="R85" s="264"/>
      <c r="S85" s="264" t="s">
        <v>473</v>
      </c>
      <c r="T85" s="24" t="s">
        <v>474</v>
      </c>
      <c r="U85" s="24"/>
      <c r="V85" s="24"/>
      <c r="W85" s="24" t="s">
        <v>473</v>
      </c>
      <c r="X85" s="24"/>
      <c r="Y85" s="25"/>
      <c r="Z85" s="24"/>
      <c r="AA85" s="24"/>
      <c r="AB85" s="25"/>
      <c r="AC85" s="25"/>
      <c r="AD85" s="28"/>
      <c r="AE85" s="28"/>
      <c r="AF85" s="24"/>
      <c r="AG85" s="26"/>
      <c r="AH85" s="28"/>
      <c r="AI85" s="25"/>
      <c r="AJ85" s="24"/>
      <c r="AK85" s="24"/>
      <c r="AL85" s="25"/>
      <c r="AM85" s="24"/>
      <c r="AN85" s="24"/>
      <c r="AO85" s="24"/>
      <c r="AP85" s="24"/>
      <c r="AQ85" s="25"/>
      <c r="AR85" s="24"/>
      <c r="AS85" s="24"/>
      <c r="AT85" s="24"/>
      <c r="AU85" s="25"/>
      <c r="AV85" s="24"/>
      <c r="AW85" s="24"/>
      <c r="AX85" s="25"/>
      <c r="AY85" s="24"/>
      <c r="AZ85" s="24"/>
      <c r="BA85" s="28"/>
      <c r="BB85" s="24"/>
      <c r="BC85" s="28"/>
      <c r="BD85" s="28"/>
    </row>
    <row r="86" spans="1:56" s="311" customFormat="1" ht="28.5">
      <c r="A86" s="259">
        <v>84</v>
      </c>
      <c r="B86" s="185" t="s">
        <v>341</v>
      </c>
      <c r="C86" s="185"/>
      <c r="D86" s="256" t="s">
        <v>475</v>
      </c>
      <c r="E86" s="257" t="s">
        <v>476</v>
      </c>
      <c r="F86" s="88" t="s">
        <v>477</v>
      </c>
      <c r="G86" s="246" t="s">
        <v>457</v>
      </c>
      <c r="H86" s="71" t="s">
        <v>33</v>
      </c>
      <c r="I86" s="70" t="s">
        <v>34</v>
      </c>
      <c r="J86" s="70"/>
      <c r="K86" s="28"/>
      <c r="L86" s="92"/>
      <c r="M86" s="28"/>
      <c r="N86" s="24"/>
      <c r="O86" s="24"/>
      <c r="P86" s="24"/>
      <c r="Q86" s="25"/>
      <c r="R86" s="24"/>
      <c r="S86" s="24"/>
      <c r="T86" s="24"/>
      <c r="U86" s="24"/>
      <c r="V86" s="24"/>
      <c r="W86" s="24" t="s">
        <v>478</v>
      </c>
      <c r="X86" s="24"/>
      <c r="Y86" s="25"/>
      <c r="Z86" s="24"/>
      <c r="AA86" s="24"/>
      <c r="AB86" s="24"/>
      <c r="AC86" s="25"/>
      <c r="AD86" s="28"/>
      <c r="AE86" s="28"/>
      <c r="AF86" s="24"/>
      <c r="AG86" s="26"/>
      <c r="AH86" s="28"/>
      <c r="AI86" s="25"/>
      <c r="AJ86" s="24"/>
      <c r="AK86" s="24"/>
      <c r="AL86" s="25"/>
      <c r="AM86" s="24"/>
      <c r="AN86" s="24"/>
      <c r="AO86" s="24"/>
      <c r="AP86" s="24"/>
      <c r="AQ86" s="25"/>
      <c r="AR86" s="24"/>
      <c r="AS86" s="24"/>
      <c r="AT86" s="24"/>
      <c r="AU86" s="25"/>
      <c r="AV86" s="24"/>
      <c r="AW86" s="24"/>
      <c r="AX86" s="25"/>
      <c r="AY86" s="24"/>
      <c r="AZ86" s="24"/>
      <c r="BA86" s="28"/>
      <c r="BB86" s="24"/>
      <c r="BC86" s="28"/>
      <c r="BD86" s="28"/>
    </row>
    <row r="87" spans="1:56" s="311" customFormat="1" ht="128.25">
      <c r="A87" s="78">
        <v>85</v>
      </c>
      <c r="B87" s="241" t="s">
        <v>341</v>
      </c>
      <c r="C87" s="100" t="s">
        <v>75</v>
      </c>
      <c r="D87" s="260" t="s">
        <v>479</v>
      </c>
      <c r="E87" s="257" t="s">
        <v>480</v>
      </c>
      <c r="F87" s="88" t="s">
        <v>1642</v>
      </c>
      <c r="G87" s="246" t="s">
        <v>481</v>
      </c>
      <c r="H87" s="71" t="s">
        <v>33</v>
      </c>
      <c r="I87" s="70" t="s">
        <v>88</v>
      </c>
      <c r="J87" s="70"/>
      <c r="K87" s="28" t="s">
        <v>482</v>
      </c>
      <c r="L87" s="92" t="s">
        <v>483</v>
      </c>
      <c r="M87" s="28"/>
      <c r="N87" s="24"/>
      <c r="O87" s="24" t="s">
        <v>484</v>
      </c>
      <c r="P87" s="24" t="s">
        <v>485</v>
      </c>
      <c r="Q87" s="25"/>
      <c r="R87" s="24"/>
      <c r="S87" s="24" t="s">
        <v>486</v>
      </c>
      <c r="T87" s="24" t="s">
        <v>487</v>
      </c>
      <c r="U87" s="24"/>
      <c r="V87" s="24"/>
      <c r="W87" s="24" t="s">
        <v>488</v>
      </c>
      <c r="X87" s="24"/>
      <c r="Y87" s="25"/>
      <c r="Z87" s="24"/>
      <c r="AA87" s="24"/>
      <c r="AB87" s="24"/>
      <c r="AC87" s="25"/>
      <c r="AD87" s="28"/>
      <c r="AE87" s="28"/>
      <c r="AF87" s="24"/>
      <c r="AG87" s="26"/>
      <c r="AH87" s="28"/>
      <c r="AI87" s="25"/>
      <c r="AJ87" s="24"/>
      <c r="AK87" s="24"/>
      <c r="AL87" s="25"/>
      <c r="AM87" s="24"/>
      <c r="AN87" s="24"/>
      <c r="AO87" s="24"/>
      <c r="AP87" s="24"/>
      <c r="AQ87" s="25"/>
      <c r="AR87" s="24"/>
      <c r="AS87" s="24"/>
      <c r="AT87" s="24"/>
      <c r="AU87" s="25"/>
      <c r="AV87" s="24"/>
      <c r="AW87" s="24"/>
      <c r="AX87" s="25"/>
      <c r="AY87" s="24"/>
      <c r="AZ87" s="24"/>
      <c r="BA87" s="28"/>
      <c r="BB87" s="24"/>
      <c r="BC87" s="28"/>
      <c r="BD87" s="28"/>
    </row>
    <row r="88" spans="1:56" s="311" customFormat="1" ht="42.75">
      <c r="A88" s="64">
        <v>86</v>
      </c>
      <c r="B88" s="241" t="s">
        <v>341</v>
      </c>
      <c r="C88" s="250"/>
      <c r="D88" s="67" t="s">
        <v>55</v>
      </c>
      <c r="E88" s="257"/>
      <c r="F88" s="68" t="s">
        <v>1643</v>
      </c>
      <c r="G88" s="265" t="s">
        <v>481</v>
      </c>
      <c r="H88" s="71" t="s">
        <v>33</v>
      </c>
      <c r="I88" s="70" t="s">
        <v>34</v>
      </c>
      <c r="J88" s="70"/>
      <c r="K88" s="28"/>
      <c r="L88" s="28"/>
      <c r="M88" s="28"/>
      <c r="N88" s="24"/>
      <c r="O88" s="24" t="s">
        <v>489</v>
      </c>
      <c r="P88" s="24" t="s">
        <v>490</v>
      </c>
      <c r="Q88" s="25"/>
      <c r="R88" s="24"/>
      <c r="S88" s="24" t="s">
        <v>491</v>
      </c>
      <c r="T88" s="24" t="s">
        <v>492</v>
      </c>
      <c r="U88" s="24"/>
      <c r="V88" s="24"/>
      <c r="W88" s="24" t="s">
        <v>493</v>
      </c>
      <c r="X88" s="24"/>
      <c r="Y88" s="25"/>
      <c r="Z88" s="24"/>
      <c r="AA88" s="24"/>
      <c r="AB88" s="25"/>
      <c r="AC88" s="25"/>
      <c r="AD88" s="28"/>
      <c r="AE88" s="28"/>
      <c r="AF88" s="24"/>
      <c r="AG88" s="26"/>
      <c r="AH88" s="28"/>
      <c r="AI88" s="25"/>
      <c r="AJ88" s="24"/>
      <c r="AK88" s="24"/>
      <c r="AL88" s="25"/>
      <c r="AM88" s="24"/>
      <c r="AN88" s="24"/>
      <c r="AO88" s="24"/>
      <c r="AP88" s="25"/>
      <c r="AQ88" s="25"/>
      <c r="AR88" s="24"/>
      <c r="AS88" s="24"/>
      <c r="AT88" s="24"/>
      <c r="AU88" s="25"/>
      <c r="AV88" s="24"/>
      <c r="AW88" s="24"/>
      <c r="AX88" s="25"/>
      <c r="AY88" s="24"/>
      <c r="AZ88" s="24"/>
      <c r="BA88" s="28"/>
      <c r="BB88" s="24"/>
      <c r="BC88" s="28"/>
      <c r="BD88" s="28"/>
    </row>
    <row r="89" spans="1:56" s="311" customFormat="1" ht="34.5" customHeight="1">
      <c r="A89" s="76">
        <v>87</v>
      </c>
      <c r="B89" s="241" t="s">
        <v>341</v>
      </c>
      <c r="C89" s="250"/>
      <c r="D89" s="67" t="s">
        <v>63</v>
      </c>
      <c r="E89" s="257"/>
      <c r="F89" s="266" t="s">
        <v>1585</v>
      </c>
      <c r="G89" s="265" t="s">
        <v>481</v>
      </c>
      <c r="H89" s="71" t="s">
        <v>33</v>
      </c>
      <c r="I89" s="70" t="s">
        <v>34</v>
      </c>
      <c r="J89" s="70"/>
      <c r="K89" s="28"/>
      <c r="L89" s="28"/>
      <c r="M89" s="28"/>
      <c r="N89" s="24"/>
      <c r="O89" s="24" t="s">
        <v>489</v>
      </c>
      <c r="P89" s="24" t="s">
        <v>494</v>
      </c>
      <c r="Q89" s="25"/>
      <c r="R89" s="24"/>
      <c r="S89" s="24" t="s">
        <v>489</v>
      </c>
      <c r="T89" s="24" t="s">
        <v>492</v>
      </c>
      <c r="U89" s="24"/>
      <c r="V89" s="24"/>
      <c r="W89" s="24" t="s">
        <v>495</v>
      </c>
      <c r="X89" s="24"/>
      <c r="Y89" s="25"/>
      <c r="Z89" s="24"/>
      <c r="AA89" s="24"/>
      <c r="AB89" s="25"/>
      <c r="AC89" s="25"/>
      <c r="AD89" s="28"/>
      <c r="AE89" s="28"/>
      <c r="AF89" s="24"/>
      <c r="AG89" s="26"/>
      <c r="AH89" s="28"/>
      <c r="AI89" s="25"/>
      <c r="AJ89" s="24"/>
      <c r="AK89" s="24"/>
      <c r="AL89" s="25"/>
      <c r="AM89" s="24"/>
      <c r="AN89" s="24"/>
      <c r="AO89" s="24"/>
      <c r="AP89" s="25"/>
      <c r="AQ89" s="25"/>
      <c r="AR89" s="24"/>
      <c r="AS89" s="24"/>
      <c r="AT89" s="24"/>
      <c r="AU89" s="25"/>
      <c r="AV89" s="24"/>
      <c r="AW89" s="24"/>
      <c r="AX89" s="25"/>
      <c r="AY89" s="24"/>
      <c r="AZ89" s="24"/>
      <c r="BA89" s="28"/>
      <c r="BB89" s="24"/>
      <c r="BC89" s="28"/>
      <c r="BD89" s="28"/>
    </row>
    <row r="90" spans="1:56" s="311" customFormat="1" ht="34.5" customHeight="1">
      <c r="A90" s="78">
        <v>88</v>
      </c>
      <c r="B90" s="241" t="s">
        <v>341</v>
      </c>
      <c r="C90" s="267"/>
      <c r="D90" s="68" t="s">
        <v>72</v>
      </c>
      <c r="E90" s="268"/>
      <c r="F90" s="68" t="s">
        <v>1585</v>
      </c>
      <c r="G90" s="265" t="s">
        <v>481</v>
      </c>
      <c r="H90" s="71" t="s">
        <v>33</v>
      </c>
      <c r="I90" s="70" t="s">
        <v>34</v>
      </c>
      <c r="J90" s="70"/>
      <c r="K90" s="28"/>
      <c r="L90" s="28"/>
      <c r="M90" s="28"/>
      <c r="N90" s="24"/>
      <c r="O90" s="24" t="s">
        <v>489</v>
      </c>
      <c r="P90" s="24" t="s">
        <v>496</v>
      </c>
      <c r="Q90" s="25"/>
      <c r="R90" s="24"/>
      <c r="S90" s="24" t="s">
        <v>489</v>
      </c>
      <c r="T90" s="24" t="s">
        <v>497</v>
      </c>
      <c r="U90" s="24"/>
      <c r="V90" s="24"/>
      <c r="W90" s="24" t="s">
        <v>498</v>
      </c>
      <c r="X90" s="24"/>
      <c r="Y90" s="25"/>
      <c r="Z90" s="24"/>
      <c r="AA90" s="24"/>
      <c r="AB90" s="25"/>
      <c r="AC90" s="25"/>
      <c r="AD90" s="28"/>
      <c r="AE90" s="28"/>
      <c r="AF90" s="24"/>
      <c r="AG90" s="26"/>
      <c r="AH90" s="28"/>
      <c r="AI90" s="25"/>
      <c r="AJ90" s="24"/>
      <c r="AK90" s="24"/>
      <c r="AL90" s="25"/>
      <c r="AM90" s="24"/>
      <c r="AN90" s="24"/>
      <c r="AO90" s="24"/>
      <c r="AP90" s="25"/>
      <c r="AQ90" s="25"/>
      <c r="AR90" s="24"/>
      <c r="AS90" s="24"/>
      <c r="AT90" s="24"/>
      <c r="AU90" s="25"/>
      <c r="AV90" s="24"/>
      <c r="AW90" s="24"/>
      <c r="AX90" s="25"/>
      <c r="AY90" s="24"/>
      <c r="AZ90" s="24"/>
      <c r="BA90" s="28"/>
      <c r="BB90" s="24"/>
      <c r="BC90" s="28"/>
      <c r="BD90" s="28"/>
    </row>
    <row r="91" spans="1:56" s="311" customFormat="1" ht="54.75" customHeight="1">
      <c r="A91" s="64">
        <v>89</v>
      </c>
      <c r="B91" s="241" t="s">
        <v>341</v>
      </c>
      <c r="C91" s="250"/>
      <c r="D91" s="266" t="s">
        <v>69</v>
      </c>
      <c r="E91" s="257"/>
      <c r="F91" s="266" t="s">
        <v>1585</v>
      </c>
      <c r="G91" s="265" t="s">
        <v>481</v>
      </c>
      <c r="H91" s="71" t="s">
        <v>33</v>
      </c>
      <c r="I91" s="70" t="s">
        <v>34</v>
      </c>
      <c r="J91" s="70"/>
      <c r="K91" s="28"/>
      <c r="L91" s="28"/>
      <c r="M91" s="28"/>
      <c r="N91" s="24"/>
      <c r="O91" s="24" t="s">
        <v>489</v>
      </c>
      <c r="P91" s="24" t="s">
        <v>490</v>
      </c>
      <c r="Q91" s="25"/>
      <c r="R91" s="24"/>
      <c r="S91" s="24" t="s">
        <v>489</v>
      </c>
      <c r="T91" s="24" t="s">
        <v>497</v>
      </c>
      <c r="U91" s="24"/>
      <c r="V91" s="24"/>
      <c r="W91" s="24" t="s">
        <v>498</v>
      </c>
      <c r="X91" s="24"/>
      <c r="Y91" s="25"/>
      <c r="Z91" s="24"/>
      <c r="AA91" s="24"/>
      <c r="AB91" s="25"/>
      <c r="AC91" s="25"/>
      <c r="AD91" s="28"/>
      <c r="AE91" s="28"/>
      <c r="AF91" s="24"/>
      <c r="AG91" s="26"/>
      <c r="AH91" s="28"/>
      <c r="AI91" s="25"/>
      <c r="AJ91" s="24"/>
      <c r="AK91" s="24"/>
      <c r="AL91" s="25"/>
      <c r="AM91" s="24"/>
      <c r="AN91" s="24"/>
      <c r="AO91" s="24"/>
      <c r="AP91" s="25"/>
      <c r="AQ91" s="25"/>
      <c r="AR91" s="24"/>
      <c r="AS91" s="24"/>
      <c r="AT91" s="24"/>
      <c r="AU91" s="25"/>
      <c r="AV91" s="24"/>
      <c r="AW91" s="24"/>
      <c r="AX91" s="25"/>
      <c r="AY91" s="24"/>
      <c r="AZ91" s="24"/>
      <c r="BA91" s="28"/>
      <c r="BB91" s="24"/>
      <c r="BC91" s="28"/>
      <c r="BD91" s="28"/>
    </row>
    <row r="92" spans="1:56" s="311" customFormat="1" ht="105" customHeight="1">
      <c r="A92" s="78">
        <v>90</v>
      </c>
      <c r="B92" s="241" t="s">
        <v>341</v>
      </c>
      <c r="C92" s="269"/>
      <c r="D92" s="269" t="s">
        <v>499</v>
      </c>
      <c r="E92" s="270" t="s">
        <v>500</v>
      </c>
      <c r="F92" s="270" t="s">
        <v>1644</v>
      </c>
      <c r="G92" s="271" t="s">
        <v>481</v>
      </c>
      <c r="H92" s="71" t="s">
        <v>33</v>
      </c>
      <c r="I92" s="70" t="s">
        <v>88</v>
      </c>
      <c r="J92" s="70"/>
      <c r="K92" s="28"/>
      <c r="L92" s="92" t="s">
        <v>501</v>
      </c>
      <c r="M92" s="28"/>
      <c r="N92" s="24"/>
      <c r="O92" s="24"/>
      <c r="P92" s="24" t="s">
        <v>502</v>
      </c>
      <c r="Q92" s="25"/>
      <c r="R92" s="24"/>
      <c r="S92" s="24" t="s">
        <v>503</v>
      </c>
      <c r="T92" s="24" t="s">
        <v>504</v>
      </c>
      <c r="U92" s="24"/>
      <c r="V92" s="24"/>
      <c r="W92" s="24" t="s">
        <v>505</v>
      </c>
      <c r="X92" s="24"/>
      <c r="Y92" s="25"/>
      <c r="Z92" s="24"/>
      <c r="AA92" s="24"/>
      <c r="AB92" s="25"/>
      <c r="AC92" s="25"/>
      <c r="AD92" s="28"/>
      <c r="AE92" s="28"/>
      <c r="AF92" s="24"/>
      <c r="AG92" s="26"/>
      <c r="AH92" s="28"/>
      <c r="AI92" s="25"/>
      <c r="AJ92" s="24"/>
      <c r="AK92" s="24"/>
      <c r="AL92" s="25"/>
      <c r="AM92" s="24"/>
      <c r="AN92" s="24"/>
      <c r="AO92" s="24"/>
      <c r="AP92" s="25"/>
      <c r="AQ92" s="25"/>
      <c r="AR92" s="24"/>
      <c r="AS92" s="24"/>
      <c r="AT92" s="24"/>
      <c r="AU92" s="25"/>
      <c r="AV92" s="24"/>
      <c r="AW92" s="24"/>
      <c r="AX92" s="25"/>
      <c r="AY92" s="24"/>
      <c r="AZ92" s="24"/>
      <c r="BA92" s="28"/>
      <c r="BB92" s="24"/>
      <c r="BC92" s="28"/>
      <c r="BD92" s="28"/>
    </row>
    <row r="93" spans="1:56" s="311" customFormat="1" ht="30" customHeight="1">
      <c r="A93" s="78">
        <v>91</v>
      </c>
      <c r="B93" s="241" t="s">
        <v>341</v>
      </c>
      <c r="C93" s="269"/>
      <c r="D93" s="270" t="s">
        <v>506</v>
      </c>
      <c r="E93" s="269"/>
      <c r="F93" s="269" t="s">
        <v>1645</v>
      </c>
      <c r="G93" s="272" t="s">
        <v>481</v>
      </c>
      <c r="H93" s="71" t="s">
        <v>33</v>
      </c>
      <c r="I93" s="70" t="s">
        <v>88</v>
      </c>
      <c r="J93" s="70"/>
      <c r="K93" s="28"/>
      <c r="L93" s="28" t="s">
        <v>507</v>
      </c>
      <c r="M93" s="28"/>
      <c r="N93" s="24"/>
      <c r="O93" s="24"/>
      <c r="P93" s="24"/>
      <c r="Q93" s="25"/>
      <c r="R93" s="24"/>
      <c r="S93" s="24" t="s">
        <v>506</v>
      </c>
      <c r="T93" s="24" t="s">
        <v>508</v>
      </c>
      <c r="U93" s="24"/>
      <c r="V93" s="24"/>
      <c r="W93" s="24" t="s">
        <v>509</v>
      </c>
      <c r="X93" s="24"/>
      <c r="Y93" s="25"/>
      <c r="Z93" s="24"/>
      <c r="AA93" s="24"/>
      <c r="AB93" s="25"/>
      <c r="AC93" s="25"/>
      <c r="AD93" s="28"/>
      <c r="AE93" s="28"/>
      <c r="AF93" s="24"/>
      <c r="AG93" s="26"/>
      <c r="AH93" s="28"/>
      <c r="AI93" s="25"/>
      <c r="AJ93" s="24"/>
      <c r="AK93" s="24"/>
      <c r="AL93" s="25"/>
      <c r="AM93" s="24"/>
      <c r="AN93" s="24"/>
      <c r="AO93" s="24"/>
      <c r="AP93" s="25"/>
      <c r="AQ93" s="25"/>
      <c r="AR93" s="24"/>
      <c r="AS93" s="24"/>
      <c r="AT93" s="24"/>
      <c r="AU93" s="25"/>
      <c r="AV93" s="24"/>
      <c r="AW93" s="24"/>
      <c r="AX93" s="25"/>
      <c r="AY93" s="24"/>
      <c r="AZ93" s="24"/>
      <c r="BA93" s="28"/>
      <c r="BB93" s="24"/>
      <c r="BC93" s="28"/>
      <c r="BD93" s="28"/>
    </row>
    <row r="94" spans="1:56" s="311" customFormat="1" ht="85.5">
      <c r="A94" s="273">
        <v>92</v>
      </c>
      <c r="B94" s="241" t="s">
        <v>341</v>
      </c>
      <c r="C94" s="250"/>
      <c r="D94" s="251" t="s">
        <v>510</v>
      </c>
      <c r="E94" s="257"/>
      <c r="F94" s="88" t="s">
        <v>1646</v>
      </c>
      <c r="G94" s="246" t="s">
        <v>511</v>
      </c>
      <c r="H94" s="71" t="s">
        <v>33</v>
      </c>
      <c r="I94" s="89" t="s">
        <v>34</v>
      </c>
      <c r="J94" s="89"/>
      <c r="K94" s="92" t="s">
        <v>512</v>
      </c>
      <c r="L94" s="92" t="s">
        <v>512</v>
      </c>
      <c r="M94" s="28"/>
      <c r="N94" s="24"/>
      <c r="O94" s="24" t="s">
        <v>513</v>
      </c>
      <c r="P94" s="24" t="s">
        <v>514</v>
      </c>
      <c r="Q94" s="25"/>
      <c r="R94" s="24"/>
      <c r="S94" s="24" t="s">
        <v>515</v>
      </c>
      <c r="T94" s="24" t="s">
        <v>516</v>
      </c>
      <c r="U94" s="24"/>
      <c r="V94" s="24"/>
      <c r="W94" s="24" t="s">
        <v>517</v>
      </c>
      <c r="X94" s="24"/>
      <c r="Y94" s="25"/>
      <c r="Z94" s="24"/>
      <c r="AA94" s="24"/>
      <c r="AB94" s="24"/>
      <c r="AC94" s="25"/>
      <c r="AD94" s="28"/>
      <c r="AE94" s="28"/>
      <c r="AF94" s="24"/>
      <c r="AG94" s="26"/>
      <c r="AH94" s="28"/>
      <c r="AI94" s="25"/>
      <c r="AJ94" s="24"/>
      <c r="AK94" s="24"/>
      <c r="AL94" s="25"/>
      <c r="AM94" s="24"/>
      <c r="AN94" s="24"/>
      <c r="AO94" s="24"/>
      <c r="AP94" s="24"/>
      <c r="AQ94" s="25"/>
      <c r="AR94" s="24"/>
      <c r="AS94" s="24"/>
      <c r="AT94" s="24"/>
      <c r="AU94" s="25"/>
      <c r="AV94" s="24"/>
      <c r="AW94" s="24"/>
      <c r="AX94" s="25"/>
      <c r="AY94" s="24"/>
      <c r="AZ94" s="24"/>
      <c r="BA94" s="28"/>
      <c r="BB94" s="24"/>
      <c r="BC94" s="28"/>
      <c r="BD94" s="28"/>
    </row>
    <row r="95" spans="1:56" s="311" customFormat="1" ht="51.75" customHeight="1">
      <c r="A95" s="76">
        <v>93</v>
      </c>
      <c r="B95" s="241" t="s">
        <v>341</v>
      </c>
      <c r="C95" s="250"/>
      <c r="D95" s="251" t="s">
        <v>518</v>
      </c>
      <c r="E95" s="257"/>
      <c r="F95" s="88" t="s">
        <v>1647</v>
      </c>
      <c r="G95" s="246" t="s">
        <v>519</v>
      </c>
      <c r="H95" s="71" t="s">
        <v>33</v>
      </c>
      <c r="I95" s="70" t="s">
        <v>34</v>
      </c>
      <c r="J95" s="70"/>
      <c r="K95" s="28"/>
      <c r="L95" s="28"/>
      <c r="M95" s="28"/>
      <c r="N95" s="24"/>
      <c r="O95" s="24" t="s">
        <v>520</v>
      </c>
      <c r="P95" s="24" t="s">
        <v>521</v>
      </c>
      <c r="Q95" s="25"/>
      <c r="R95" s="24"/>
      <c r="S95" s="24" t="s">
        <v>522</v>
      </c>
      <c r="T95" s="24" t="s">
        <v>523</v>
      </c>
      <c r="U95" s="24"/>
      <c r="V95" s="24"/>
      <c r="W95" s="24" t="s">
        <v>524</v>
      </c>
      <c r="X95" s="24"/>
      <c r="Y95" s="25"/>
      <c r="Z95" s="24"/>
      <c r="AA95" s="24"/>
      <c r="AB95" s="25"/>
      <c r="AC95" s="25"/>
      <c r="AD95" s="28"/>
      <c r="AE95" s="28"/>
      <c r="AF95" s="24"/>
      <c r="AG95" s="26"/>
      <c r="AH95" s="25"/>
      <c r="AI95" s="25"/>
      <c r="AJ95" s="24"/>
      <c r="AK95" s="24"/>
      <c r="AL95" s="25"/>
      <c r="AM95" s="24"/>
      <c r="AN95" s="24"/>
      <c r="AO95" s="24"/>
      <c r="AP95" s="25"/>
      <c r="AQ95" s="25"/>
      <c r="AR95" s="24"/>
      <c r="AS95" s="24"/>
      <c r="AT95" s="24"/>
      <c r="AU95" s="25"/>
      <c r="AV95" s="24"/>
      <c r="AW95" s="24"/>
      <c r="AX95" s="24"/>
      <c r="AY95" s="24"/>
      <c r="AZ95" s="24"/>
      <c r="BA95" s="28"/>
      <c r="BB95" s="24"/>
      <c r="BC95" s="28"/>
      <c r="BD95" s="28"/>
    </row>
    <row r="96" spans="1:56" s="311" customFormat="1" ht="34.5" customHeight="1">
      <c r="A96" s="78">
        <v>94</v>
      </c>
      <c r="B96" s="241" t="s">
        <v>341</v>
      </c>
      <c r="C96" s="250"/>
      <c r="D96" s="251" t="s">
        <v>49</v>
      </c>
      <c r="E96" s="257"/>
      <c r="F96" s="88" t="s">
        <v>1630</v>
      </c>
      <c r="G96" s="246" t="s">
        <v>519</v>
      </c>
      <c r="H96" s="71" t="s">
        <v>33</v>
      </c>
      <c r="I96" s="70" t="s">
        <v>34</v>
      </c>
      <c r="J96" s="70"/>
      <c r="K96" s="28"/>
      <c r="L96" s="28"/>
      <c r="M96" s="28"/>
      <c r="N96" s="92"/>
      <c r="O96" s="92" t="s">
        <v>525</v>
      </c>
      <c r="P96" s="92" t="s">
        <v>526</v>
      </c>
      <c r="Q96" s="28"/>
      <c r="R96" s="92"/>
      <c r="S96" s="92" t="s">
        <v>527</v>
      </c>
      <c r="T96" s="92" t="s">
        <v>528</v>
      </c>
      <c r="U96" s="92"/>
      <c r="V96" s="92"/>
      <c r="W96" s="92" t="s">
        <v>529</v>
      </c>
      <c r="X96" s="92"/>
      <c r="Y96" s="28"/>
      <c r="Z96" s="92"/>
      <c r="AA96" s="92"/>
      <c r="AB96" s="28"/>
      <c r="AC96" s="28"/>
      <c r="AD96" s="28"/>
      <c r="AE96" s="28"/>
      <c r="AF96" s="92"/>
      <c r="AG96" s="88"/>
      <c r="AH96" s="92"/>
      <c r="AI96" s="28"/>
      <c r="AJ96" s="92"/>
      <c r="AK96" s="92"/>
      <c r="AL96" s="28"/>
      <c r="AM96" s="92"/>
      <c r="AN96" s="92"/>
      <c r="AO96" s="92"/>
      <c r="AP96" s="92"/>
      <c r="AQ96" s="28"/>
      <c r="AR96" s="92"/>
      <c r="AS96" s="92"/>
      <c r="AT96" s="92"/>
      <c r="AU96" s="28"/>
      <c r="AV96" s="92"/>
      <c r="AW96" s="92"/>
      <c r="AX96" s="28"/>
      <c r="AY96" s="28"/>
      <c r="AZ96" s="92"/>
      <c r="BA96" s="28"/>
      <c r="BB96" s="28"/>
      <c r="BC96" s="28"/>
      <c r="BD96" s="28"/>
    </row>
    <row r="97" spans="1:56" s="311" customFormat="1" ht="15.75" customHeight="1">
      <c r="A97" s="64">
        <v>95</v>
      </c>
      <c r="B97" s="241" t="s">
        <v>341</v>
      </c>
      <c r="C97" s="269"/>
      <c r="D97" s="269" t="s">
        <v>530</v>
      </c>
      <c r="E97" s="269"/>
      <c r="F97" s="269" t="s">
        <v>531</v>
      </c>
      <c r="G97" s="272" t="s">
        <v>519</v>
      </c>
      <c r="H97" s="71" t="s">
        <v>33</v>
      </c>
      <c r="I97" s="70" t="s">
        <v>34</v>
      </c>
      <c r="J97" s="70"/>
      <c r="K97" s="28"/>
      <c r="L97" s="28"/>
      <c r="M97" s="28"/>
      <c r="N97" s="24"/>
      <c r="O97" s="24" t="s">
        <v>532</v>
      </c>
      <c r="P97" s="24" t="s">
        <v>532</v>
      </c>
      <c r="Q97" s="25"/>
      <c r="R97" s="24"/>
      <c r="S97" s="24" t="s">
        <v>532</v>
      </c>
      <c r="T97" s="24" t="s">
        <v>532</v>
      </c>
      <c r="U97" s="24"/>
      <c r="V97" s="24"/>
      <c r="W97" s="24"/>
      <c r="X97" s="24"/>
      <c r="Y97" s="25"/>
      <c r="Z97" s="24"/>
      <c r="AA97" s="24"/>
      <c r="AB97" s="25"/>
      <c r="AC97" s="25"/>
      <c r="AD97" s="28"/>
      <c r="AE97" s="28"/>
      <c r="AF97" s="24"/>
      <c r="AG97" s="26"/>
      <c r="AH97" s="25"/>
      <c r="AI97" s="25"/>
      <c r="AJ97" s="24"/>
      <c r="AK97" s="24"/>
      <c r="AL97" s="25"/>
      <c r="AM97" s="24"/>
      <c r="AN97" s="24"/>
      <c r="AO97" s="24"/>
      <c r="AP97" s="25"/>
      <c r="AQ97" s="25"/>
      <c r="AR97" s="24"/>
      <c r="AS97" s="24"/>
      <c r="AT97" s="24"/>
      <c r="AU97" s="25"/>
      <c r="AV97" s="24"/>
      <c r="AW97" s="24"/>
      <c r="AX97" s="25"/>
      <c r="AY97" s="24"/>
      <c r="AZ97" s="24"/>
      <c r="BA97" s="28"/>
      <c r="BB97" s="24"/>
      <c r="BC97" s="28"/>
      <c r="BD97" s="28"/>
    </row>
    <row r="98" spans="1:56" s="311" customFormat="1" ht="114">
      <c r="A98" s="76">
        <v>96</v>
      </c>
      <c r="B98" s="241" t="s">
        <v>341</v>
      </c>
      <c r="C98" s="250"/>
      <c r="D98" s="251" t="s">
        <v>533</v>
      </c>
      <c r="E98" s="257" t="s">
        <v>534</v>
      </c>
      <c r="F98" s="88" t="s">
        <v>535</v>
      </c>
      <c r="G98" s="272" t="s">
        <v>519</v>
      </c>
      <c r="H98" s="71" t="s">
        <v>33</v>
      </c>
      <c r="I98" s="70" t="s">
        <v>34</v>
      </c>
      <c r="J98" s="70"/>
      <c r="K98" s="28"/>
      <c r="L98" s="28"/>
      <c r="M98" s="28"/>
      <c r="N98" s="24"/>
      <c r="O98" s="24"/>
      <c r="P98" s="24"/>
      <c r="Q98" s="25"/>
      <c r="R98" s="24"/>
      <c r="S98" s="24"/>
      <c r="T98" s="24"/>
      <c r="U98" s="24"/>
      <c r="V98" s="24"/>
      <c r="W98" s="24"/>
      <c r="X98" s="24"/>
      <c r="Y98" s="25"/>
      <c r="Z98" s="24"/>
      <c r="AA98" s="24"/>
      <c r="AB98" s="25"/>
      <c r="AC98" s="25"/>
      <c r="AD98" s="28"/>
      <c r="AE98" s="28"/>
      <c r="AF98" s="24"/>
      <c r="AG98" s="26"/>
      <c r="AH98" s="28"/>
      <c r="AI98" s="25"/>
      <c r="AJ98" s="24"/>
      <c r="AK98" s="24"/>
      <c r="AL98" s="25"/>
      <c r="AM98" s="24"/>
      <c r="AN98" s="24"/>
      <c r="AO98" s="24"/>
      <c r="AP98" s="25"/>
      <c r="AQ98" s="25"/>
      <c r="AR98" s="24"/>
      <c r="AS98" s="24"/>
      <c r="AT98" s="24"/>
      <c r="AU98" s="25"/>
      <c r="AV98" s="24"/>
      <c r="AW98" s="24"/>
      <c r="AX98" s="24"/>
      <c r="AY98" s="24"/>
      <c r="AZ98" s="24"/>
      <c r="BA98" s="28"/>
      <c r="BB98" s="24"/>
      <c r="BC98" s="28"/>
      <c r="BD98" s="28"/>
    </row>
    <row r="99" spans="1:56" s="311" customFormat="1" ht="49.5">
      <c r="A99" s="78">
        <v>97</v>
      </c>
      <c r="B99" s="241" t="s">
        <v>341</v>
      </c>
      <c r="C99" s="250"/>
      <c r="D99" s="251" t="s">
        <v>536</v>
      </c>
      <c r="E99" s="257"/>
      <c r="F99" s="88" t="s">
        <v>1648</v>
      </c>
      <c r="G99" s="246" t="s">
        <v>537</v>
      </c>
      <c r="H99" s="71" t="s">
        <v>33</v>
      </c>
      <c r="I99" s="70" t="s">
        <v>355</v>
      </c>
      <c r="J99" s="70"/>
      <c r="K99" s="28" t="s">
        <v>538</v>
      </c>
      <c r="L99" s="28" t="s">
        <v>538</v>
      </c>
      <c r="M99" s="28"/>
      <c r="N99" s="24"/>
      <c r="O99" s="24" t="s">
        <v>538</v>
      </c>
      <c r="P99" s="24" t="s">
        <v>538</v>
      </c>
      <c r="Q99" s="25"/>
      <c r="R99" s="24"/>
      <c r="S99" s="24" t="s">
        <v>538</v>
      </c>
      <c r="T99" s="24" t="s">
        <v>538</v>
      </c>
      <c r="U99" s="24"/>
      <c r="V99" s="24"/>
      <c r="W99" s="24" t="s">
        <v>539</v>
      </c>
      <c r="X99" s="24"/>
      <c r="Y99" s="25"/>
      <c r="Z99" s="24"/>
      <c r="AA99" s="24"/>
      <c r="AB99" s="25"/>
      <c r="AC99" s="25"/>
      <c r="AD99" s="28"/>
      <c r="AE99" s="28"/>
      <c r="AF99" s="24"/>
      <c r="AG99" s="26"/>
      <c r="AH99" s="28"/>
      <c r="AI99" s="25"/>
      <c r="AJ99" s="24"/>
      <c r="AK99" s="24"/>
      <c r="AL99" s="25"/>
      <c r="AM99" s="24"/>
      <c r="AN99" s="24"/>
      <c r="AO99" s="24"/>
      <c r="AP99" s="25"/>
      <c r="AQ99" s="25"/>
      <c r="AR99" s="24"/>
      <c r="AS99" s="24"/>
      <c r="AT99" s="24"/>
      <c r="AU99" s="25"/>
      <c r="AV99" s="24"/>
      <c r="AW99" s="24"/>
      <c r="AX99" s="24"/>
      <c r="AY99" s="24"/>
      <c r="AZ99" s="24"/>
      <c r="BA99" s="28"/>
      <c r="BB99" s="24"/>
      <c r="BC99" s="28"/>
      <c r="BD99" s="28"/>
    </row>
    <row r="100" spans="1:56" s="311" customFormat="1" ht="49.5">
      <c r="A100" s="64">
        <v>98</v>
      </c>
      <c r="B100" s="241" t="s">
        <v>341</v>
      </c>
      <c r="C100" s="250"/>
      <c r="D100" s="251" t="s">
        <v>540</v>
      </c>
      <c r="E100" s="257"/>
      <c r="F100" s="88" t="s">
        <v>1648</v>
      </c>
      <c r="G100" s="246" t="s">
        <v>537</v>
      </c>
      <c r="H100" s="71" t="s">
        <v>33</v>
      </c>
      <c r="I100" s="70" t="s">
        <v>355</v>
      </c>
      <c r="J100" s="70"/>
      <c r="K100" s="28" t="s">
        <v>541</v>
      </c>
      <c r="L100" s="28" t="s">
        <v>541</v>
      </c>
      <c r="M100" s="28"/>
      <c r="N100" s="24"/>
      <c r="O100" s="24" t="s">
        <v>542</v>
      </c>
      <c r="P100" s="24" t="s">
        <v>542</v>
      </c>
      <c r="Q100" s="25"/>
      <c r="R100" s="24"/>
      <c r="S100" s="24" t="s">
        <v>543</v>
      </c>
      <c r="T100" s="24" t="s">
        <v>544</v>
      </c>
      <c r="U100" s="24"/>
      <c r="V100" s="24"/>
      <c r="W100" s="24" t="s">
        <v>545</v>
      </c>
      <c r="X100" s="24"/>
      <c r="Y100" s="25"/>
      <c r="Z100" s="24"/>
      <c r="AA100" s="24"/>
      <c r="AB100" s="25"/>
      <c r="AC100" s="25"/>
      <c r="AD100" s="28"/>
      <c r="AE100" s="28"/>
      <c r="AF100" s="24"/>
      <c r="AG100" s="26"/>
      <c r="AH100" s="28"/>
      <c r="AI100" s="25"/>
      <c r="AJ100" s="24"/>
      <c r="AK100" s="24"/>
      <c r="AL100" s="25"/>
      <c r="AM100" s="24"/>
      <c r="AN100" s="24"/>
      <c r="AO100" s="24"/>
      <c r="AP100" s="25"/>
      <c r="AQ100" s="25"/>
      <c r="AR100" s="24"/>
      <c r="AS100" s="24"/>
      <c r="AT100" s="24"/>
      <c r="AU100" s="25"/>
      <c r="AV100" s="24"/>
      <c r="AW100" s="24"/>
      <c r="AX100" s="24"/>
      <c r="AY100" s="24"/>
      <c r="AZ100" s="24"/>
      <c r="BA100" s="28"/>
      <c r="BB100" s="24"/>
      <c r="BC100" s="28"/>
      <c r="BD100" s="28"/>
    </row>
    <row r="101" spans="1:56" s="311" customFormat="1" ht="49.5">
      <c r="A101" s="76">
        <v>99</v>
      </c>
      <c r="B101" s="241" t="s">
        <v>341</v>
      </c>
      <c r="C101" s="250"/>
      <c r="D101" s="251" t="s">
        <v>546</v>
      </c>
      <c r="E101" s="257"/>
      <c r="F101" s="88" t="s">
        <v>1648</v>
      </c>
      <c r="G101" s="246" t="s">
        <v>537</v>
      </c>
      <c r="H101" s="71" t="s">
        <v>33</v>
      </c>
      <c r="I101" s="70" t="s">
        <v>355</v>
      </c>
      <c r="J101" s="70"/>
      <c r="K101" s="28" t="s">
        <v>547</v>
      </c>
      <c r="L101" s="28" t="s">
        <v>547</v>
      </c>
      <c r="M101" s="28"/>
      <c r="N101" s="24"/>
      <c r="O101" s="24" t="s">
        <v>542</v>
      </c>
      <c r="P101" s="24" t="s">
        <v>542</v>
      </c>
      <c r="Q101" s="25"/>
      <c r="R101" s="24"/>
      <c r="S101" s="24" t="s">
        <v>543</v>
      </c>
      <c r="T101" s="24" t="s">
        <v>548</v>
      </c>
      <c r="U101" s="24"/>
      <c r="V101" s="24"/>
      <c r="W101" s="24" t="s">
        <v>545</v>
      </c>
      <c r="X101" s="24"/>
      <c r="Y101" s="25"/>
      <c r="Z101" s="24"/>
      <c r="AA101" s="24"/>
      <c r="AB101" s="25"/>
      <c r="AC101" s="25"/>
      <c r="AD101" s="28"/>
      <c r="AE101" s="28"/>
      <c r="AF101" s="24"/>
      <c r="AG101" s="26"/>
      <c r="AH101" s="28"/>
      <c r="AI101" s="25"/>
      <c r="AJ101" s="24"/>
      <c r="AK101" s="24"/>
      <c r="AL101" s="25"/>
      <c r="AM101" s="24"/>
      <c r="AN101" s="24"/>
      <c r="AO101" s="24"/>
      <c r="AP101" s="25"/>
      <c r="AQ101" s="25"/>
      <c r="AR101" s="24"/>
      <c r="AS101" s="24"/>
      <c r="AT101" s="24"/>
      <c r="AU101" s="25"/>
      <c r="AV101" s="24"/>
      <c r="AW101" s="24"/>
      <c r="AX101" s="24"/>
      <c r="AY101" s="24"/>
      <c r="AZ101" s="24"/>
      <c r="BA101" s="28"/>
      <c r="BB101" s="24"/>
      <c r="BC101" s="28"/>
      <c r="BD101" s="28"/>
    </row>
    <row r="102" spans="1:56" s="311" customFormat="1" ht="120" customHeight="1">
      <c r="A102" s="78">
        <v>100</v>
      </c>
      <c r="B102" s="241" t="s">
        <v>341</v>
      </c>
      <c r="C102" s="274"/>
      <c r="D102" s="275" t="s">
        <v>549</v>
      </c>
      <c r="E102" s="257" t="s">
        <v>550</v>
      </c>
      <c r="F102" s="88" t="s">
        <v>1649</v>
      </c>
      <c r="G102" s="246" t="s">
        <v>537</v>
      </c>
      <c r="H102" s="71" t="s">
        <v>33</v>
      </c>
      <c r="I102" s="70" t="s">
        <v>355</v>
      </c>
      <c r="J102" s="70"/>
      <c r="K102" s="92" t="s">
        <v>551</v>
      </c>
      <c r="L102" s="92" t="s">
        <v>551</v>
      </c>
      <c r="M102" s="28"/>
      <c r="N102" s="24"/>
      <c r="O102" s="24" t="s">
        <v>552</v>
      </c>
      <c r="P102" s="24" t="s">
        <v>553</v>
      </c>
      <c r="Q102" s="25"/>
      <c r="R102" s="24"/>
      <c r="S102" s="24" t="s">
        <v>554</v>
      </c>
      <c r="T102" s="24" t="s">
        <v>555</v>
      </c>
      <c r="U102" s="24"/>
      <c r="V102" s="24"/>
      <c r="W102" s="24" t="s">
        <v>556</v>
      </c>
      <c r="X102" s="24"/>
      <c r="Y102" s="25"/>
      <c r="Z102" s="24"/>
      <c r="AA102" s="24"/>
      <c r="AB102" s="25"/>
      <c r="AC102" s="25"/>
      <c r="AD102" s="28"/>
      <c r="AE102" s="28"/>
      <c r="AF102" s="24"/>
      <c r="AG102" s="26"/>
      <c r="AH102" s="28"/>
      <c r="AI102" s="25"/>
      <c r="AJ102" s="24"/>
      <c r="AK102" s="24"/>
      <c r="AL102" s="25"/>
      <c r="AM102" s="24"/>
      <c r="AN102" s="24"/>
      <c r="AO102" s="24"/>
      <c r="AP102" s="25"/>
      <c r="AQ102" s="25"/>
      <c r="AR102" s="24"/>
      <c r="AS102" s="24"/>
      <c r="AT102" s="24"/>
      <c r="AU102" s="25"/>
      <c r="AV102" s="24"/>
      <c r="AW102" s="24"/>
      <c r="AX102" s="24"/>
      <c r="AY102" s="24"/>
      <c r="AZ102" s="24"/>
      <c r="BA102" s="28"/>
      <c r="BB102" s="24"/>
      <c r="BC102" s="28"/>
      <c r="BD102" s="28"/>
    </row>
    <row r="103" spans="1:56" s="311" customFormat="1" ht="75" customHeight="1">
      <c r="A103" s="64">
        <v>101</v>
      </c>
      <c r="B103" s="185" t="s">
        <v>341</v>
      </c>
      <c r="C103" s="276"/>
      <c r="D103" s="275" t="s">
        <v>549</v>
      </c>
      <c r="E103" s="277" t="s">
        <v>557</v>
      </c>
      <c r="F103" s="88" t="s">
        <v>1650</v>
      </c>
      <c r="G103" s="246" t="s">
        <v>537</v>
      </c>
      <c r="H103" s="71" t="s">
        <v>33</v>
      </c>
      <c r="I103" s="70"/>
      <c r="J103" s="70"/>
      <c r="K103" s="28" t="s">
        <v>558</v>
      </c>
      <c r="L103" s="28" t="s">
        <v>558</v>
      </c>
      <c r="M103" s="28"/>
      <c r="N103" s="24"/>
      <c r="O103" s="24" t="s">
        <v>559</v>
      </c>
      <c r="P103" s="24" t="s">
        <v>559</v>
      </c>
      <c r="Q103" s="25"/>
      <c r="R103" s="24"/>
      <c r="S103" s="24" t="s">
        <v>38</v>
      </c>
      <c r="T103" s="24" t="s">
        <v>38</v>
      </c>
      <c r="U103" s="24"/>
      <c r="V103" s="24"/>
      <c r="W103" s="24" t="s">
        <v>38</v>
      </c>
      <c r="X103" s="24"/>
      <c r="Y103" s="25"/>
      <c r="Z103" s="24"/>
      <c r="AA103" s="24"/>
      <c r="AB103" s="25"/>
      <c r="AC103" s="25"/>
      <c r="AD103" s="28"/>
      <c r="AE103" s="28"/>
      <c r="AF103" s="24"/>
      <c r="AG103" s="26"/>
      <c r="AH103" s="28"/>
      <c r="AI103" s="25"/>
      <c r="AJ103" s="24"/>
      <c r="AK103" s="24"/>
      <c r="AL103" s="25"/>
      <c r="AM103" s="24"/>
      <c r="AN103" s="24"/>
      <c r="AO103" s="24"/>
      <c r="AP103" s="25"/>
      <c r="AQ103" s="25"/>
      <c r="AR103" s="24"/>
      <c r="AS103" s="24"/>
      <c r="AT103" s="24"/>
      <c r="AU103" s="25"/>
      <c r="AV103" s="24"/>
      <c r="AW103" s="24"/>
      <c r="AX103" s="24"/>
      <c r="AY103" s="24"/>
      <c r="AZ103" s="24"/>
      <c r="BA103" s="28"/>
      <c r="BB103" s="24"/>
      <c r="BC103" s="28"/>
      <c r="BD103" s="28"/>
    </row>
    <row r="104" spans="1:56" s="311" customFormat="1" ht="28.5">
      <c r="A104" s="170">
        <v>102</v>
      </c>
      <c r="B104" s="185" t="s">
        <v>341</v>
      </c>
      <c r="C104" s="276"/>
      <c r="D104" s="275" t="s">
        <v>549</v>
      </c>
      <c r="E104" s="277" t="s">
        <v>560</v>
      </c>
      <c r="F104" s="88"/>
      <c r="G104" s="246" t="s">
        <v>537</v>
      </c>
      <c r="H104" s="71" t="s">
        <v>33</v>
      </c>
      <c r="I104" s="70"/>
      <c r="J104" s="70"/>
      <c r="K104" s="28" t="s">
        <v>561</v>
      </c>
      <c r="L104" s="28" t="s">
        <v>561</v>
      </c>
      <c r="M104" s="28"/>
      <c r="N104" s="92"/>
      <c r="O104" s="92" t="s">
        <v>562</v>
      </c>
      <c r="P104" s="92" t="s">
        <v>562</v>
      </c>
      <c r="Q104" s="28"/>
      <c r="R104" s="92"/>
      <c r="S104" s="92" t="s">
        <v>38</v>
      </c>
      <c r="T104" s="92" t="s">
        <v>38</v>
      </c>
      <c r="U104" s="92"/>
      <c r="V104" s="92"/>
      <c r="W104" s="92" t="s">
        <v>38</v>
      </c>
      <c r="X104" s="92"/>
      <c r="Y104" s="28"/>
      <c r="Z104" s="92"/>
      <c r="AA104" s="92"/>
      <c r="AB104" s="28"/>
      <c r="AC104" s="28"/>
      <c r="AD104" s="28"/>
      <c r="AE104" s="28"/>
      <c r="AF104" s="92"/>
      <c r="AG104" s="88"/>
      <c r="AH104" s="28"/>
      <c r="AI104" s="28"/>
      <c r="AJ104" s="92"/>
      <c r="AK104" s="92"/>
      <c r="AL104" s="28"/>
      <c r="AM104" s="92"/>
      <c r="AN104" s="92"/>
      <c r="AO104" s="92"/>
      <c r="AP104" s="28"/>
      <c r="AQ104" s="28"/>
      <c r="AR104" s="92"/>
      <c r="AS104" s="92"/>
      <c r="AT104" s="92"/>
      <c r="AU104" s="28"/>
      <c r="AV104" s="92"/>
      <c r="AW104" s="92"/>
      <c r="AX104" s="92"/>
      <c r="AY104" s="92"/>
      <c r="AZ104" s="92"/>
      <c r="BA104" s="28"/>
      <c r="BB104" s="92"/>
      <c r="BC104" s="28"/>
      <c r="BD104" s="28"/>
    </row>
    <row r="105" spans="1:56" s="311" customFormat="1" ht="42.75">
      <c r="A105" s="78">
        <v>103</v>
      </c>
      <c r="B105" s="185" t="s">
        <v>341</v>
      </c>
      <c r="C105" s="276"/>
      <c r="D105" s="275" t="s">
        <v>549</v>
      </c>
      <c r="E105" s="257" t="s">
        <v>563</v>
      </c>
      <c r="F105" s="88" t="s">
        <v>1651</v>
      </c>
      <c r="G105" s="246" t="s">
        <v>564</v>
      </c>
      <c r="H105" s="71" t="s">
        <v>33</v>
      </c>
      <c r="I105" s="70" t="s">
        <v>78</v>
      </c>
      <c r="J105" s="70"/>
      <c r="K105" s="28" t="s">
        <v>565</v>
      </c>
      <c r="L105" s="28" t="s">
        <v>565</v>
      </c>
      <c r="M105" s="28"/>
      <c r="N105" s="24"/>
      <c r="O105" s="24" t="s">
        <v>566</v>
      </c>
      <c r="P105" s="24" t="s">
        <v>567</v>
      </c>
      <c r="Q105" s="25"/>
      <c r="R105" s="24"/>
      <c r="S105" s="24" t="s">
        <v>568</v>
      </c>
      <c r="T105" s="24" t="s">
        <v>568</v>
      </c>
      <c r="U105" s="24"/>
      <c r="V105" s="24"/>
      <c r="W105" s="24" t="s">
        <v>569</v>
      </c>
      <c r="X105" s="24"/>
      <c r="Y105" s="25"/>
      <c r="Z105" s="24"/>
      <c r="AA105" s="24"/>
      <c r="AB105" s="25"/>
      <c r="AC105" s="25"/>
      <c r="AD105" s="28"/>
      <c r="AE105" s="28"/>
      <c r="AF105" s="24"/>
      <c r="AG105" s="26"/>
      <c r="AH105" s="28"/>
      <c r="AI105" s="25"/>
      <c r="AJ105" s="24"/>
      <c r="AK105" s="24"/>
      <c r="AL105" s="25"/>
      <c r="AM105" s="24"/>
      <c r="AN105" s="24"/>
      <c r="AO105" s="24"/>
      <c r="AP105" s="25"/>
      <c r="AQ105" s="25"/>
      <c r="AR105" s="24"/>
      <c r="AS105" s="24"/>
      <c r="AT105" s="24"/>
      <c r="AU105" s="25"/>
      <c r="AV105" s="24"/>
      <c r="AW105" s="24"/>
      <c r="AX105" s="24"/>
      <c r="AY105" s="24"/>
      <c r="AZ105" s="24"/>
      <c r="BA105" s="28"/>
      <c r="BB105" s="24"/>
      <c r="BC105" s="28"/>
      <c r="BD105" s="28"/>
    </row>
    <row r="106" spans="1:56" s="311" customFormat="1" ht="30" customHeight="1">
      <c r="A106" s="64">
        <v>104</v>
      </c>
      <c r="B106" s="185" t="s">
        <v>341</v>
      </c>
      <c r="C106" s="278"/>
      <c r="D106" s="279" t="s">
        <v>549</v>
      </c>
      <c r="E106" s="257" t="s">
        <v>570</v>
      </c>
      <c r="F106" s="88" t="s">
        <v>1652</v>
      </c>
      <c r="G106" s="246" t="s">
        <v>564</v>
      </c>
      <c r="H106" s="71" t="s">
        <v>33</v>
      </c>
      <c r="I106" s="70" t="s">
        <v>78</v>
      </c>
      <c r="J106" s="70"/>
      <c r="K106" s="28" t="s">
        <v>565</v>
      </c>
      <c r="L106" s="28" t="s">
        <v>565</v>
      </c>
      <c r="M106" s="28"/>
      <c r="N106" s="92"/>
      <c r="O106" s="92" t="s">
        <v>571</v>
      </c>
      <c r="P106" s="92" t="s">
        <v>572</v>
      </c>
      <c r="Q106" s="28"/>
      <c r="R106" s="92"/>
      <c r="S106" s="92" t="s">
        <v>573</v>
      </c>
      <c r="T106" s="92" t="s">
        <v>573</v>
      </c>
      <c r="U106" s="92"/>
      <c r="V106" s="92"/>
      <c r="W106" s="92" t="s">
        <v>573</v>
      </c>
      <c r="X106" s="92"/>
      <c r="Y106" s="28"/>
      <c r="Z106" s="92"/>
      <c r="AA106" s="92"/>
      <c r="AB106" s="28"/>
      <c r="AC106" s="28"/>
      <c r="AD106" s="28"/>
      <c r="AE106" s="28"/>
      <c r="AF106" s="92"/>
      <c r="AG106" s="88"/>
      <c r="AH106" s="28"/>
      <c r="AI106" s="28"/>
      <c r="AJ106" s="92"/>
      <c r="AK106" s="92"/>
      <c r="AL106" s="28"/>
      <c r="AM106" s="92"/>
      <c r="AN106" s="92"/>
      <c r="AO106" s="92"/>
      <c r="AP106" s="28"/>
      <c r="AQ106" s="28"/>
      <c r="AR106" s="92"/>
      <c r="AS106" s="92"/>
      <c r="AT106" s="92"/>
      <c r="AU106" s="28"/>
      <c r="AV106" s="92"/>
      <c r="AW106" s="92"/>
      <c r="AX106" s="92"/>
      <c r="AY106" s="92"/>
      <c r="AZ106" s="92"/>
      <c r="BA106" s="28"/>
      <c r="BB106" s="92"/>
      <c r="BC106" s="28"/>
      <c r="BD106" s="28"/>
    </row>
    <row r="107" spans="1:56" s="311" customFormat="1" ht="105.75" customHeight="1">
      <c r="A107" s="78">
        <v>105</v>
      </c>
      <c r="B107" s="241" t="s">
        <v>341</v>
      </c>
      <c r="C107" s="267"/>
      <c r="D107" s="280" t="s">
        <v>574</v>
      </c>
      <c r="E107" s="88" t="s">
        <v>575</v>
      </c>
      <c r="F107" s="88" t="s">
        <v>576</v>
      </c>
      <c r="G107" s="281" t="s">
        <v>564</v>
      </c>
      <c r="H107" s="21" t="s">
        <v>33</v>
      </c>
      <c r="I107" s="70" t="s">
        <v>78</v>
      </c>
      <c r="J107" s="70"/>
      <c r="K107" s="28" t="s">
        <v>577</v>
      </c>
      <c r="L107" s="28" t="s">
        <v>577</v>
      </c>
      <c r="M107" s="28"/>
      <c r="N107" s="24"/>
      <c r="O107" s="24" t="s">
        <v>578</v>
      </c>
      <c r="P107" s="24" t="s">
        <v>579</v>
      </c>
      <c r="Q107" s="25"/>
      <c r="R107" s="24"/>
      <c r="S107" s="24" t="s">
        <v>580</v>
      </c>
      <c r="T107" s="24" t="s">
        <v>581</v>
      </c>
      <c r="U107" s="24"/>
      <c r="V107" s="24"/>
      <c r="W107" s="24" t="s">
        <v>582</v>
      </c>
      <c r="X107" s="24"/>
      <c r="Y107" s="25"/>
      <c r="Z107" s="24"/>
      <c r="AA107" s="24"/>
      <c r="AB107" s="25"/>
      <c r="AC107" s="25"/>
      <c r="AD107" s="28"/>
      <c r="AE107" s="28"/>
      <c r="AF107" s="24"/>
      <c r="AG107" s="26"/>
      <c r="AH107" s="28"/>
      <c r="AI107" s="25"/>
      <c r="AJ107" s="24"/>
      <c r="AK107" s="24"/>
      <c r="AL107" s="25"/>
      <c r="AM107" s="24"/>
      <c r="AN107" s="24"/>
      <c r="AO107" s="24"/>
      <c r="AP107" s="25"/>
      <c r="AQ107" s="25"/>
      <c r="AR107" s="24"/>
      <c r="AS107" s="24"/>
      <c r="AT107" s="24"/>
      <c r="AU107" s="25"/>
      <c r="AV107" s="24"/>
      <c r="AW107" s="24"/>
      <c r="AX107" s="25"/>
      <c r="AY107" s="24"/>
      <c r="AZ107" s="24"/>
      <c r="BA107" s="28"/>
      <c r="BB107" s="24"/>
      <c r="BC107" s="28"/>
      <c r="BD107" s="28"/>
    </row>
    <row r="108" spans="1:56" s="311" customFormat="1" ht="88.5" customHeight="1">
      <c r="A108" s="78">
        <v>106</v>
      </c>
      <c r="B108" s="241" t="s">
        <v>341</v>
      </c>
      <c r="C108" s="250"/>
      <c r="D108" s="282" t="s">
        <v>583</v>
      </c>
      <c r="E108" s="257" t="s">
        <v>584</v>
      </c>
      <c r="F108" s="257" t="s">
        <v>585</v>
      </c>
      <c r="G108" s="246" t="s">
        <v>564</v>
      </c>
      <c r="H108" s="71" t="s">
        <v>33</v>
      </c>
      <c r="I108" s="70" t="s">
        <v>78</v>
      </c>
      <c r="J108" s="70"/>
      <c r="K108" s="92" t="s">
        <v>586</v>
      </c>
      <c r="L108" s="92" t="s">
        <v>586</v>
      </c>
      <c r="M108" s="28"/>
      <c r="N108" s="24"/>
      <c r="O108" s="24" t="s">
        <v>587</v>
      </c>
      <c r="P108" s="24" t="s">
        <v>587</v>
      </c>
      <c r="Q108" s="25"/>
      <c r="R108" s="24"/>
      <c r="S108" s="24" t="s">
        <v>588</v>
      </c>
      <c r="T108" s="24" t="s">
        <v>588</v>
      </c>
      <c r="U108" s="24"/>
      <c r="V108" s="24"/>
      <c r="W108" s="24" t="s">
        <v>588</v>
      </c>
      <c r="X108" s="24"/>
      <c r="Y108" s="25"/>
      <c r="Z108" s="25"/>
      <c r="AA108" s="24"/>
      <c r="AB108" s="24"/>
      <c r="AC108" s="25"/>
      <c r="AD108" s="28"/>
      <c r="AE108" s="28"/>
      <c r="AF108" s="24"/>
      <c r="AG108" s="26"/>
      <c r="AH108" s="28"/>
      <c r="AI108" s="25"/>
      <c r="AJ108" s="24"/>
      <c r="AK108" s="25"/>
      <c r="AL108" s="25"/>
      <c r="AM108" s="24"/>
      <c r="AN108" s="24"/>
      <c r="AO108" s="25"/>
      <c r="AP108" s="24"/>
      <c r="AQ108" s="24"/>
      <c r="AR108" s="24"/>
      <c r="AS108" s="24"/>
      <c r="AT108" s="25"/>
      <c r="AU108" s="25"/>
      <c r="AV108" s="24"/>
      <c r="AW108" s="24"/>
      <c r="AX108" s="25"/>
      <c r="AY108" s="24"/>
      <c r="AZ108" s="24"/>
      <c r="BA108" s="28"/>
      <c r="BB108" s="24"/>
      <c r="BC108" s="28"/>
      <c r="BD108" s="28"/>
    </row>
    <row r="109" spans="1:56" s="175" customFormat="1" ht="174" customHeight="1">
      <c r="A109" s="64">
        <v>107</v>
      </c>
      <c r="B109" s="241" t="s">
        <v>341</v>
      </c>
      <c r="C109" s="225"/>
      <c r="D109" s="283" t="s">
        <v>589</v>
      </c>
      <c r="E109" s="19" t="s">
        <v>590</v>
      </c>
      <c r="F109" s="88" t="s">
        <v>1653</v>
      </c>
      <c r="G109" s="204" t="s">
        <v>564</v>
      </c>
      <c r="H109" s="71" t="s">
        <v>33</v>
      </c>
      <c r="I109" s="77"/>
      <c r="J109" s="77"/>
      <c r="K109" s="92" t="s">
        <v>591</v>
      </c>
      <c r="L109" s="92" t="s">
        <v>592</v>
      </c>
      <c r="M109" s="92"/>
      <c r="N109" s="24"/>
      <c r="O109" s="24" t="s">
        <v>593</v>
      </c>
      <c r="P109" s="284" t="s">
        <v>594</v>
      </c>
      <c r="Q109" s="24"/>
      <c r="R109" s="24"/>
      <c r="S109" s="24" t="s">
        <v>595</v>
      </c>
      <c r="T109" s="24" t="s">
        <v>595</v>
      </c>
      <c r="U109" s="24"/>
      <c r="V109" s="24"/>
      <c r="W109" s="24" t="s">
        <v>596</v>
      </c>
      <c r="X109" s="24"/>
      <c r="Y109" s="24"/>
      <c r="Z109" s="24"/>
      <c r="AA109" s="24"/>
      <c r="AB109" s="26"/>
      <c r="AC109" s="24"/>
      <c r="AD109" s="92"/>
      <c r="AE109" s="92"/>
      <c r="AF109" s="26"/>
      <c r="AG109" s="26"/>
      <c r="AH109" s="92"/>
      <c r="AI109" s="24"/>
      <c r="AJ109" s="24"/>
      <c r="AK109" s="26"/>
      <c r="AL109" s="24"/>
      <c r="AM109" s="24"/>
      <c r="AN109" s="24"/>
      <c r="AO109" s="24"/>
      <c r="AP109" s="24"/>
      <c r="AQ109" s="24"/>
      <c r="AR109" s="24"/>
      <c r="AS109" s="24"/>
      <c r="AT109" s="24"/>
      <c r="AU109" s="24"/>
      <c r="AV109" s="24"/>
      <c r="AW109" s="24"/>
      <c r="AX109" s="24"/>
      <c r="AY109" s="24"/>
      <c r="AZ109" s="24"/>
      <c r="BA109" s="92"/>
      <c r="BB109" s="24"/>
      <c r="BC109" s="92"/>
      <c r="BD109" s="92"/>
    </row>
    <row r="110" spans="1:56" s="311" customFormat="1" ht="114">
      <c r="A110" s="285">
        <v>108</v>
      </c>
      <c r="B110" s="241" t="s">
        <v>341</v>
      </c>
      <c r="C110" s="274"/>
      <c r="D110" s="275" t="s">
        <v>597</v>
      </c>
      <c r="E110" s="286" t="s">
        <v>598</v>
      </c>
      <c r="F110" s="192" t="s">
        <v>1654</v>
      </c>
      <c r="G110" s="246" t="s">
        <v>599</v>
      </c>
      <c r="H110" s="71" t="s">
        <v>33</v>
      </c>
      <c r="I110" s="89" t="s">
        <v>34</v>
      </c>
      <c r="J110" s="89"/>
      <c r="K110" s="28" t="s">
        <v>600</v>
      </c>
      <c r="L110" s="92" t="s">
        <v>601</v>
      </c>
      <c r="M110" s="28"/>
      <c r="N110" s="24"/>
      <c r="O110" s="24" t="s">
        <v>602</v>
      </c>
      <c r="P110" s="24" t="s">
        <v>603</v>
      </c>
      <c r="Q110" s="25"/>
      <c r="R110" s="24"/>
      <c r="S110" s="24" t="s">
        <v>604</v>
      </c>
      <c r="T110" s="24" t="s">
        <v>605</v>
      </c>
      <c r="U110" s="24"/>
      <c r="V110" s="24"/>
      <c r="W110" s="24" t="s">
        <v>606</v>
      </c>
      <c r="X110" s="24"/>
      <c r="Y110" s="25"/>
      <c r="Z110" s="24"/>
      <c r="AA110" s="24"/>
      <c r="AB110" s="25"/>
      <c r="AC110" s="25"/>
      <c r="AD110" s="28"/>
      <c r="AE110" s="28"/>
      <c r="AF110" s="24"/>
      <c r="AG110" s="26"/>
      <c r="AH110" s="28"/>
      <c r="AI110" s="25"/>
      <c r="AJ110" s="24"/>
      <c r="AK110" s="24"/>
      <c r="AL110" s="25"/>
      <c r="AM110" s="24"/>
      <c r="AN110" s="24"/>
      <c r="AO110" s="24"/>
      <c r="AP110" s="25"/>
      <c r="AQ110" s="25"/>
      <c r="AR110" s="24"/>
      <c r="AS110" s="24"/>
      <c r="AT110" s="24"/>
      <c r="AU110" s="25"/>
      <c r="AV110" s="24"/>
      <c r="AW110" s="24"/>
      <c r="AX110" s="25"/>
      <c r="AY110" s="24"/>
      <c r="AZ110" s="24"/>
      <c r="BA110" s="28"/>
      <c r="BB110" s="24"/>
      <c r="BC110" s="28"/>
      <c r="BD110" s="28"/>
    </row>
    <row r="111" spans="1:56" s="311" customFormat="1" ht="142.5">
      <c r="A111" s="78">
        <v>109</v>
      </c>
      <c r="B111" s="241" t="s">
        <v>341</v>
      </c>
      <c r="C111" s="100"/>
      <c r="D111" s="230" t="s">
        <v>607</v>
      </c>
      <c r="E111" s="286" t="s">
        <v>608</v>
      </c>
      <c r="F111" s="192" t="s">
        <v>1655</v>
      </c>
      <c r="G111" s="287" t="s">
        <v>599</v>
      </c>
      <c r="H111" s="71" t="s">
        <v>33</v>
      </c>
      <c r="I111" s="70" t="s">
        <v>34</v>
      </c>
      <c r="J111" s="70"/>
      <c r="K111" s="92" t="s">
        <v>609</v>
      </c>
      <c r="L111" s="92" t="s">
        <v>610</v>
      </c>
      <c r="M111" s="28"/>
      <c r="N111" s="24"/>
      <c r="O111" s="24" t="s">
        <v>611</v>
      </c>
      <c r="P111" s="24" t="s">
        <v>612</v>
      </c>
      <c r="Q111" s="25"/>
      <c r="R111" s="24"/>
      <c r="S111" s="24" t="s">
        <v>613</v>
      </c>
      <c r="T111" s="24" t="s">
        <v>614</v>
      </c>
      <c r="U111" s="24"/>
      <c r="V111" s="24"/>
      <c r="W111" s="24" t="s">
        <v>615</v>
      </c>
      <c r="X111" s="24"/>
      <c r="Y111" s="25"/>
      <c r="Z111" s="24"/>
      <c r="AA111" s="24"/>
      <c r="AB111" s="25"/>
      <c r="AC111" s="25"/>
      <c r="AD111" s="28"/>
      <c r="AE111" s="28"/>
      <c r="AF111" s="24"/>
      <c r="AG111" s="26"/>
      <c r="AH111" s="28"/>
      <c r="AI111" s="25"/>
      <c r="AJ111" s="24"/>
      <c r="AK111" s="24"/>
      <c r="AL111" s="25"/>
      <c r="AM111" s="24"/>
      <c r="AN111" s="24"/>
      <c r="AO111" s="24"/>
      <c r="AP111" s="25"/>
      <c r="AQ111" s="25"/>
      <c r="AR111" s="24"/>
      <c r="AS111" s="24"/>
      <c r="AT111" s="24"/>
      <c r="AU111" s="25"/>
      <c r="AV111" s="24"/>
      <c r="AW111" s="24"/>
      <c r="AX111" s="25"/>
      <c r="AY111" s="24"/>
      <c r="AZ111" s="24"/>
      <c r="BA111" s="28"/>
      <c r="BB111" s="24"/>
      <c r="BC111" s="28"/>
      <c r="BD111" s="28"/>
    </row>
    <row r="112" spans="1:56" s="311" customFormat="1" ht="34.5" customHeight="1">
      <c r="A112" s="64">
        <v>110</v>
      </c>
      <c r="B112" s="241" t="s">
        <v>341</v>
      </c>
      <c r="C112" s="250"/>
      <c r="D112" s="251" t="s">
        <v>616</v>
      </c>
      <c r="E112" s="257" t="s">
        <v>617</v>
      </c>
      <c r="F112" s="88" t="s">
        <v>618</v>
      </c>
      <c r="G112" s="254" t="s">
        <v>619</v>
      </c>
      <c r="H112" s="71" t="s">
        <v>33</v>
      </c>
      <c r="I112" s="70" t="s">
        <v>34</v>
      </c>
      <c r="J112" s="70"/>
      <c r="K112" s="28"/>
      <c r="L112" s="28"/>
      <c r="M112" s="28"/>
      <c r="N112" s="24"/>
      <c r="O112" s="24"/>
      <c r="P112" s="24" t="s">
        <v>247</v>
      </c>
      <c r="Q112" s="25"/>
      <c r="R112" s="24"/>
      <c r="S112" s="24" t="s">
        <v>620</v>
      </c>
      <c r="T112" s="24" t="s">
        <v>621</v>
      </c>
      <c r="U112" s="24"/>
      <c r="V112" s="24"/>
      <c r="W112" s="24" t="s">
        <v>620</v>
      </c>
      <c r="X112" s="24"/>
      <c r="Y112" s="25"/>
      <c r="Z112" s="24"/>
      <c r="AA112" s="24"/>
      <c r="AB112" s="25"/>
      <c r="AC112" s="25"/>
      <c r="AD112" s="28"/>
      <c r="AE112" s="28"/>
      <c r="AF112" s="24"/>
      <c r="AG112" s="26"/>
      <c r="AH112" s="28"/>
      <c r="AI112" s="25"/>
      <c r="AJ112" s="24"/>
      <c r="AK112" s="24"/>
      <c r="AL112" s="25"/>
      <c r="AM112" s="24"/>
      <c r="AN112" s="24"/>
      <c r="AO112" s="24"/>
      <c r="AP112" s="25"/>
      <c r="AQ112" s="25"/>
      <c r="AR112" s="24"/>
      <c r="AS112" s="24"/>
      <c r="AT112" s="24"/>
      <c r="AU112" s="25"/>
      <c r="AV112" s="24"/>
      <c r="AW112" s="24"/>
      <c r="AX112" s="24"/>
      <c r="AY112" s="24"/>
      <c r="AZ112" s="24"/>
      <c r="BA112" s="28"/>
      <c r="BB112" s="24"/>
      <c r="BC112" s="28"/>
      <c r="BD112" s="28"/>
    </row>
    <row r="113" spans="1:56" s="311" customFormat="1" ht="57">
      <c r="A113" s="76">
        <v>111</v>
      </c>
      <c r="B113" s="241" t="s">
        <v>341</v>
      </c>
      <c r="C113" s="250"/>
      <c r="D113" s="230" t="s">
        <v>622</v>
      </c>
      <c r="E113" s="257" t="s">
        <v>623</v>
      </c>
      <c r="F113" s="288" t="s">
        <v>391</v>
      </c>
      <c r="G113" s="287" t="s">
        <v>354</v>
      </c>
      <c r="H113" s="71" t="s">
        <v>33</v>
      </c>
      <c r="I113" s="70" t="s">
        <v>88</v>
      </c>
      <c r="J113" s="70"/>
      <c r="K113" s="92"/>
      <c r="L113" s="92"/>
      <c r="M113" s="28"/>
      <c r="N113" s="24"/>
      <c r="O113" s="24"/>
      <c r="P113" s="24"/>
      <c r="Q113" s="25"/>
      <c r="R113" s="24"/>
      <c r="S113" s="24"/>
      <c r="T113" s="24"/>
      <c r="U113" s="24"/>
      <c r="V113" s="24"/>
      <c r="W113" s="24" t="s">
        <v>624</v>
      </c>
      <c r="X113" s="24"/>
      <c r="Y113" s="25"/>
      <c r="Z113" s="24"/>
      <c r="AA113" s="24"/>
      <c r="AB113" s="25"/>
      <c r="AC113" s="25"/>
      <c r="AD113" s="28"/>
      <c r="AE113" s="28"/>
      <c r="AF113" s="24"/>
      <c r="AG113" s="26"/>
      <c r="AH113" s="28"/>
      <c r="AI113" s="25"/>
      <c r="AJ113" s="24"/>
      <c r="AK113" s="24"/>
      <c r="AL113" s="25"/>
      <c r="AM113" s="24"/>
      <c r="AN113" s="24"/>
      <c r="AO113" s="24"/>
      <c r="AP113" s="25"/>
      <c r="AQ113" s="25"/>
      <c r="AR113" s="24"/>
      <c r="AS113" s="24"/>
      <c r="AT113" s="24"/>
      <c r="AU113" s="25"/>
      <c r="AV113" s="24"/>
      <c r="AW113" s="24"/>
      <c r="AX113" s="25"/>
      <c r="AY113" s="24"/>
      <c r="AZ113" s="24"/>
      <c r="BA113" s="28"/>
      <c r="BB113" s="24"/>
      <c r="BC113" s="28"/>
      <c r="BD113" s="28"/>
    </row>
    <row r="114" spans="1:56" s="311" customFormat="1" ht="99">
      <c r="A114" s="78">
        <v>112</v>
      </c>
      <c r="B114" s="241" t="s">
        <v>341</v>
      </c>
      <c r="C114" s="100" t="s">
        <v>75</v>
      </c>
      <c r="D114" s="289" t="s">
        <v>625</v>
      </c>
      <c r="E114" s="286" t="s">
        <v>626</v>
      </c>
      <c r="F114" s="192" t="s">
        <v>1656</v>
      </c>
      <c r="G114" s="287" t="s">
        <v>627</v>
      </c>
      <c r="H114" s="71" t="s">
        <v>33</v>
      </c>
      <c r="I114" s="70"/>
      <c r="J114" s="70"/>
      <c r="K114" s="92"/>
      <c r="L114" s="92"/>
      <c r="M114" s="28"/>
      <c r="N114" s="24"/>
      <c r="O114" s="24" t="s">
        <v>628</v>
      </c>
      <c r="P114" s="24" t="s">
        <v>629</v>
      </c>
      <c r="Q114" s="25"/>
      <c r="R114" s="24"/>
      <c r="S114" s="24" t="s">
        <v>630</v>
      </c>
      <c r="T114" s="24" t="s">
        <v>631</v>
      </c>
      <c r="U114" s="24"/>
      <c r="V114" s="24"/>
      <c r="W114" s="24" t="s">
        <v>632</v>
      </c>
      <c r="X114" s="24"/>
      <c r="Y114" s="25"/>
      <c r="Z114" s="24"/>
      <c r="AA114" s="24"/>
      <c r="AB114" s="25"/>
      <c r="AC114" s="25"/>
      <c r="AD114" s="28"/>
      <c r="AE114" s="28"/>
      <c r="AF114" s="24"/>
      <c r="AG114" s="26"/>
      <c r="AH114" s="28"/>
      <c r="AI114" s="25"/>
      <c r="AJ114" s="24"/>
      <c r="AK114" s="24"/>
      <c r="AL114" s="25"/>
      <c r="AM114" s="24"/>
      <c r="AN114" s="24"/>
      <c r="AO114" s="24"/>
      <c r="AP114" s="25"/>
      <c r="AQ114" s="25"/>
      <c r="AR114" s="24"/>
      <c r="AS114" s="24"/>
      <c r="AT114" s="24"/>
      <c r="AU114" s="25"/>
      <c r="AV114" s="24"/>
      <c r="AW114" s="24"/>
      <c r="AX114" s="25"/>
      <c r="AY114" s="24"/>
      <c r="AZ114" s="24"/>
      <c r="BA114" s="28"/>
      <c r="BB114" s="24"/>
      <c r="BC114" s="28"/>
      <c r="BD114" s="28"/>
    </row>
    <row r="115" spans="1:56" s="311" customFormat="1" ht="114">
      <c r="A115" s="64">
        <v>113</v>
      </c>
      <c r="B115" s="241" t="s">
        <v>341</v>
      </c>
      <c r="C115" s="274"/>
      <c r="D115" s="290" t="s">
        <v>633</v>
      </c>
      <c r="E115" s="88" t="s">
        <v>634</v>
      </c>
      <c r="F115" s="88" t="s">
        <v>1657</v>
      </c>
      <c r="G115" s="291" t="s">
        <v>635</v>
      </c>
      <c r="H115" s="21" t="s">
        <v>33</v>
      </c>
      <c r="I115" s="70" t="s">
        <v>78</v>
      </c>
      <c r="J115" s="70"/>
      <c r="K115" s="92" t="s">
        <v>636</v>
      </c>
      <c r="L115" s="92" t="s">
        <v>637</v>
      </c>
      <c r="M115" s="28"/>
      <c r="N115" s="24"/>
      <c r="O115" s="24" t="s">
        <v>638</v>
      </c>
      <c r="P115" s="24" t="s">
        <v>639</v>
      </c>
      <c r="Q115" s="25"/>
      <c r="R115" s="24"/>
      <c r="S115" s="24" t="s">
        <v>640</v>
      </c>
      <c r="T115" s="24" t="s">
        <v>641</v>
      </c>
      <c r="U115" s="24"/>
      <c r="V115" s="24"/>
      <c r="W115" s="24" t="s">
        <v>642</v>
      </c>
      <c r="X115" s="24"/>
      <c r="Y115" s="25"/>
      <c r="Z115" s="24"/>
      <c r="AA115" s="24"/>
      <c r="AB115" s="25"/>
      <c r="AC115" s="25"/>
      <c r="AD115" s="28"/>
      <c r="AE115" s="28"/>
      <c r="AF115" s="24"/>
      <c r="AG115" s="26"/>
      <c r="AH115" s="28"/>
      <c r="AI115" s="25"/>
      <c r="AJ115" s="24"/>
      <c r="AK115" s="24"/>
      <c r="AL115" s="25"/>
      <c r="AM115" s="24"/>
      <c r="AN115" s="24"/>
      <c r="AO115" s="24"/>
      <c r="AP115" s="25"/>
      <c r="AQ115" s="25"/>
      <c r="AR115" s="24"/>
      <c r="AS115" s="24"/>
      <c r="AT115" s="24"/>
      <c r="AU115" s="25"/>
      <c r="AV115" s="24"/>
      <c r="AW115" s="24"/>
      <c r="AX115" s="25"/>
      <c r="AY115" s="24"/>
      <c r="AZ115" s="24"/>
      <c r="BA115" s="28"/>
      <c r="BB115" s="24"/>
      <c r="BC115" s="28"/>
      <c r="BD115" s="28"/>
    </row>
    <row r="116" spans="1:56" s="311" customFormat="1" ht="87" customHeight="1">
      <c r="A116" s="76">
        <v>114</v>
      </c>
      <c r="B116" s="241" t="s">
        <v>341</v>
      </c>
      <c r="C116" s="250"/>
      <c r="D116" s="260" t="s">
        <v>643</v>
      </c>
      <c r="E116" s="257" t="s">
        <v>644</v>
      </c>
      <c r="F116" s="88" t="s">
        <v>1658</v>
      </c>
      <c r="G116" s="246" t="s">
        <v>645</v>
      </c>
      <c r="H116" s="71" t="s">
        <v>33</v>
      </c>
      <c r="I116" s="70" t="s">
        <v>78</v>
      </c>
      <c r="J116" s="70"/>
      <c r="K116" s="28" t="s">
        <v>646</v>
      </c>
      <c r="L116" s="92" t="s">
        <v>647</v>
      </c>
      <c r="M116" s="28"/>
      <c r="N116" s="25"/>
      <c r="O116" s="25" t="s">
        <v>648</v>
      </c>
      <c r="P116" s="24"/>
      <c r="Q116" s="25"/>
      <c r="R116" s="24"/>
      <c r="S116" s="24"/>
      <c r="T116" s="24" t="s">
        <v>649</v>
      </c>
      <c r="U116" s="24"/>
      <c r="V116" s="24"/>
      <c r="W116" s="24" t="s">
        <v>650</v>
      </c>
      <c r="X116" s="24"/>
      <c r="Y116" s="25"/>
      <c r="Z116" s="25"/>
      <c r="AA116" s="24"/>
      <c r="AB116" s="24"/>
      <c r="AC116" s="25"/>
      <c r="AD116" s="28"/>
      <c r="AE116" s="28"/>
      <c r="AF116" s="24"/>
      <c r="AG116" s="26"/>
      <c r="AH116" s="28"/>
      <c r="AI116" s="25"/>
      <c r="AJ116" s="24"/>
      <c r="AK116" s="25"/>
      <c r="AL116" s="25"/>
      <c r="AM116" s="24"/>
      <c r="AN116" s="24"/>
      <c r="AO116" s="25"/>
      <c r="AP116" s="24"/>
      <c r="AQ116" s="24"/>
      <c r="AR116" s="24"/>
      <c r="AS116" s="24"/>
      <c r="AT116" s="25"/>
      <c r="AU116" s="25"/>
      <c r="AV116" s="24"/>
      <c r="AW116" s="24"/>
      <c r="AX116" s="25"/>
      <c r="AY116" s="24"/>
      <c r="AZ116" s="24"/>
      <c r="BA116" s="28"/>
      <c r="BB116" s="24"/>
      <c r="BC116" s="28"/>
      <c r="BD116" s="28"/>
    </row>
    <row r="117" spans="1:56" s="311" customFormat="1" ht="57">
      <c r="A117" s="78">
        <v>115</v>
      </c>
      <c r="B117" s="241" t="s">
        <v>341</v>
      </c>
      <c r="C117" s="274"/>
      <c r="D117" s="292" t="s">
        <v>651</v>
      </c>
      <c r="E117" s="293" t="s">
        <v>652</v>
      </c>
      <c r="F117" s="102" t="s">
        <v>1659</v>
      </c>
      <c r="G117" s="291" t="s">
        <v>645</v>
      </c>
      <c r="H117" s="21" t="s">
        <v>33</v>
      </c>
      <c r="I117" s="70" t="s">
        <v>78</v>
      </c>
      <c r="J117" s="70"/>
      <c r="K117" s="28" t="s">
        <v>653</v>
      </c>
      <c r="L117" s="28" t="s">
        <v>654</v>
      </c>
      <c r="M117" s="28"/>
      <c r="N117" s="24"/>
      <c r="O117" s="24" t="s">
        <v>655</v>
      </c>
      <c r="P117" s="24" t="s">
        <v>656</v>
      </c>
      <c r="Q117" s="25"/>
      <c r="R117" s="24"/>
      <c r="S117" s="24" t="s">
        <v>657</v>
      </c>
      <c r="T117" s="24" t="s">
        <v>658</v>
      </c>
      <c r="U117" s="24"/>
      <c r="V117" s="24"/>
      <c r="W117" s="24" t="s">
        <v>659</v>
      </c>
      <c r="X117" s="24"/>
      <c r="Y117" s="25"/>
      <c r="Z117" s="24"/>
      <c r="AA117" s="24"/>
      <c r="AB117" s="25"/>
      <c r="AC117" s="25"/>
      <c r="AD117" s="28"/>
      <c r="AE117" s="28"/>
      <c r="AF117" s="24"/>
      <c r="AG117" s="26"/>
      <c r="AH117" s="28"/>
      <c r="AI117" s="25"/>
      <c r="AJ117" s="24"/>
      <c r="AK117" s="24"/>
      <c r="AL117" s="25"/>
      <c r="AM117" s="24"/>
      <c r="AN117" s="24"/>
      <c r="AO117" s="24"/>
      <c r="AP117" s="25"/>
      <c r="AQ117" s="25"/>
      <c r="AR117" s="24"/>
      <c r="AS117" s="24"/>
      <c r="AT117" s="24"/>
      <c r="AU117" s="25"/>
      <c r="AV117" s="24"/>
      <c r="AW117" s="24"/>
      <c r="AX117" s="25"/>
      <c r="AY117" s="24"/>
      <c r="AZ117" s="24"/>
      <c r="BA117" s="28"/>
      <c r="BB117" s="24"/>
      <c r="BC117" s="28"/>
      <c r="BD117" s="28"/>
    </row>
    <row r="118" spans="1:56" ht="409.5">
      <c r="A118" s="64">
        <v>116</v>
      </c>
      <c r="B118" s="241" t="s">
        <v>341</v>
      </c>
      <c r="C118" s="100" t="s">
        <v>75</v>
      </c>
      <c r="D118" s="294" t="s">
        <v>180</v>
      </c>
      <c r="E118" s="295" t="s">
        <v>660</v>
      </c>
      <c r="F118" s="296" t="s">
        <v>1660</v>
      </c>
      <c r="G118" s="154" t="s">
        <v>519</v>
      </c>
      <c r="H118" s="21" t="s">
        <v>33</v>
      </c>
      <c r="I118" s="130" t="s">
        <v>88</v>
      </c>
      <c r="J118" s="130"/>
      <c r="K118" s="137"/>
      <c r="L118" s="137"/>
      <c r="M118" s="137"/>
      <c r="N118" s="137"/>
      <c r="O118" s="137"/>
      <c r="P118" s="137"/>
      <c r="Q118" s="137"/>
      <c r="R118" s="137"/>
      <c r="S118" s="137"/>
      <c r="T118" s="137"/>
      <c r="U118" s="137"/>
      <c r="V118" s="156"/>
      <c r="W118" s="137"/>
      <c r="X118" s="137"/>
      <c r="Y118" s="137"/>
      <c r="Z118" s="137"/>
      <c r="AA118" s="137"/>
      <c r="AB118" s="137"/>
      <c r="AC118" s="137"/>
      <c r="AD118" s="137"/>
      <c r="AE118" s="137"/>
      <c r="AF118" s="156"/>
      <c r="AG118" s="137"/>
      <c r="AH118" s="137"/>
      <c r="AI118" s="137"/>
      <c r="AJ118" s="137"/>
      <c r="AK118" s="137"/>
      <c r="AL118" s="130"/>
      <c r="AM118" s="137"/>
      <c r="AN118" s="130"/>
      <c r="AO118" s="137"/>
      <c r="AP118" s="137"/>
      <c r="AQ118" s="137"/>
      <c r="AR118" s="137"/>
      <c r="AS118" s="137"/>
      <c r="AT118" s="137"/>
      <c r="AU118" s="137"/>
      <c r="AV118" s="137"/>
      <c r="AW118" s="137"/>
      <c r="AX118" s="137"/>
      <c r="AY118" s="137"/>
      <c r="AZ118" s="137"/>
      <c r="BA118" s="137"/>
      <c r="BB118" s="137"/>
      <c r="BC118" s="137"/>
      <c r="BD118" s="137"/>
    </row>
    <row r="119" spans="1:56" s="137" customFormat="1" ht="114">
      <c r="A119" s="45">
        <v>117</v>
      </c>
      <c r="B119" s="297" t="s">
        <v>661</v>
      </c>
      <c r="C119" s="116" t="s">
        <v>75</v>
      </c>
      <c r="D119" s="298" t="s">
        <v>662</v>
      </c>
      <c r="E119" s="49" t="s">
        <v>663</v>
      </c>
      <c r="F119" s="50" t="s">
        <v>1661</v>
      </c>
      <c r="G119" s="197" t="s">
        <v>664</v>
      </c>
      <c r="H119" s="71" t="s">
        <v>33</v>
      </c>
      <c r="I119" s="36"/>
      <c r="J119" s="36"/>
      <c r="K119" s="156"/>
      <c r="L119" s="156" t="s">
        <v>665</v>
      </c>
      <c r="N119" s="156"/>
      <c r="O119" s="156"/>
      <c r="P119" s="156" t="s">
        <v>666</v>
      </c>
      <c r="R119" s="299"/>
      <c r="S119" s="299" t="s">
        <v>667</v>
      </c>
      <c r="T119" s="300" t="s">
        <v>668</v>
      </c>
      <c r="V119" s="156"/>
      <c r="W119" s="156" t="s">
        <v>669</v>
      </c>
      <c r="X119" s="156"/>
      <c r="Z119" s="156"/>
      <c r="AA119" s="156"/>
      <c r="AB119" s="300"/>
      <c r="AF119" s="156"/>
      <c r="AG119" s="300"/>
      <c r="AH119" s="156"/>
      <c r="AJ119" s="156"/>
      <c r="AK119" s="156"/>
      <c r="AO119" s="301"/>
      <c r="AR119" s="156"/>
      <c r="AS119" s="156"/>
      <c r="AV119" s="156"/>
      <c r="AW119" s="300"/>
      <c r="AY119" s="156"/>
      <c r="AZ119" s="156"/>
      <c r="BB119" s="156"/>
    </row>
    <row r="120" spans="1:56" s="137" customFormat="1" ht="75.75" customHeight="1">
      <c r="A120" s="78">
        <v>118</v>
      </c>
      <c r="B120" s="266" t="s">
        <v>661</v>
      </c>
      <c r="C120" s="266"/>
      <c r="D120" s="302" t="s">
        <v>670</v>
      </c>
      <c r="E120" s="266" t="s">
        <v>671</v>
      </c>
      <c r="F120" s="266" t="s">
        <v>1662</v>
      </c>
      <c r="G120" s="303" t="s">
        <v>664</v>
      </c>
      <c r="H120" s="71" t="s">
        <v>33</v>
      </c>
      <c r="I120" s="130"/>
      <c r="J120" s="130"/>
      <c r="L120" s="137" t="s">
        <v>672</v>
      </c>
      <c r="N120" s="156"/>
      <c r="O120" s="156" t="s">
        <v>673</v>
      </c>
      <c r="P120" s="156" t="s">
        <v>674</v>
      </c>
      <c r="R120" s="304"/>
      <c r="S120" s="304" t="s">
        <v>675</v>
      </c>
      <c r="T120" s="156" t="s">
        <v>676</v>
      </c>
      <c r="V120" s="156"/>
      <c r="W120" s="304" t="s">
        <v>675</v>
      </c>
      <c r="X120" s="300"/>
      <c r="AA120" s="156"/>
      <c r="AB120" s="300"/>
      <c r="AF120" s="156"/>
      <c r="AG120" s="300"/>
      <c r="AH120" s="156"/>
      <c r="AK120" s="300"/>
      <c r="AO120" s="305"/>
      <c r="AS120" s="156"/>
      <c r="AW120" s="156"/>
      <c r="AY120" s="156"/>
      <c r="AZ120" s="156"/>
    </row>
    <row r="121" spans="1:56" s="137" customFormat="1" ht="85.5">
      <c r="A121" s="64">
        <v>119</v>
      </c>
      <c r="B121" s="266" t="s">
        <v>661</v>
      </c>
      <c r="C121" s="306"/>
      <c r="D121" s="290" t="s">
        <v>677</v>
      </c>
      <c r="E121" s="33"/>
      <c r="F121" s="34" t="s">
        <v>1663</v>
      </c>
      <c r="G121" s="197" t="s">
        <v>678</v>
      </c>
      <c r="H121" s="71" t="s">
        <v>33</v>
      </c>
      <c r="I121" s="36"/>
      <c r="J121" s="36"/>
      <c r="L121" s="156" t="s">
        <v>679</v>
      </c>
      <c r="N121" s="156"/>
      <c r="O121" s="156" t="s">
        <v>680</v>
      </c>
      <c r="P121" s="156" t="s">
        <v>681</v>
      </c>
      <c r="R121" s="304"/>
      <c r="S121" s="304" t="s">
        <v>682</v>
      </c>
      <c r="T121" s="156" t="s">
        <v>683</v>
      </c>
      <c r="V121" s="156"/>
      <c r="W121" s="156" t="s">
        <v>684</v>
      </c>
      <c r="X121" s="300"/>
      <c r="Z121" s="156"/>
      <c r="AA121" s="156"/>
      <c r="AB121" s="300"/>
      <c r="AF121" s="156"/>
      <c r="AG121" s="156"/>
      <c r="AH121" s="156"/>
      <c r="AJ121" s="156"/>
      <c r="AK121" s="300"/>
      <c r="AN121" s="156"/>
      <c r="AO121" s="300"/>
      <c r="AP121" s="156"/>
      <c r="AR121" s="156"/>
      <c r="AS121" s="156"/>
      <c r="AV121" s="156"/>
      <c r="AW121" s="156"/>
      <c r="BB121" s="156"/>
    </row>
    <row r="122" spans="1:56" s="137" customFormat="1" ht="57">
      <c r="A122" s="78">
        <v>120</v>
      </c>
      <c r="B122" s="266" t="s">
        <v>661</v>
      </c>
      <c r="C122" s="242" t="s">
        <v>75</v>
      </c>
      <c r="D122" s="307" t="s">
        <v>685</v>
      </c>
      <c r="E122" s="33"/>
      <c r="F122" s="34" t="s">
        <v>1664</v>
      </c>
      <c r="G122" s="197" t="s">
        <v>686</v>
      </c>
      <c r="H122" s="71" t="s">
        <v>33</v>
      </c>
      <c r="I122" s="36"/>
      <c r="J122" s="36"/>
      <c r="K122" s="175" t="s">
        <v>687</v>
      </c>
      <c r="L122" s="175" t="s">
        <v>688</v>
      </c>
      <c r="O122" s="137" t="s">
        <v>689</v>
      </c>
      <c r="P122" s="175" t="s">
        <v>690</v>
      </c>
      <c r="R122" s="308"/>
      <c r="S122" s="309" t="s">
        <v>689</v>
      </c>
      <c r="T122" s="156" t="s">
        <v>691</v>
      </c>
      <c r="V122" s="156"/>
      <c r="W122" s="156" t="s">
        <v>692</v>
      </c>
      <c r="X122" s="300"/>
      <c r="AA122" s="156"/>
      <c r="AB122" s="156"/>
      <c r="AF122" s="156"/>
      <c r="AG122" s="300"/>
      <c r="AH122" s="156"/>
      <c r="AK122" s="156"/>
      <c r="AS122" s="156"/>
      <c r="AW122" s="156"/>
      <c r="AY122" s="156"/>
      <c r="AZ122" s="156"/>
    </row>
    <row r="123" spans="1:56" s="311" customFormat="1" ht="57">
      <c r="A123" s="78">
        <v>121</v>
      </c>
      <c r="B123" s="266" t="s">
        <v>661</v>
      </c>
      <c r="C123" s="310"/>
      <c r="D123" s="290" t="s">
        <v>693</v>
      </c>
      <c r="E123" s="19" t="s">
        <v>694</v>
      </c>
      <c r="F123" s="34" t="s">
        <v>1665</v>
      </c>
      <c r="G123" s="197" t="s">
        <v>686</v>
      </c>
      <c r="H123" s="71" t="s">
        <v>33</v>
      </c>
      <c r="I123" s="121"/>
      <c r="J123" s="121"/>
      <c r="K123" s="175" t="s">
        <v>687</v>
      </c>
      <c r="L123" s="175" t="s">
        <v>688</v>
      </c>
      <c r="N123" s="175"/>
      <c r="O123" s="175" t="s">
        <v>689</v>
      </c>
      <c r="P123" s="175" t="s">
        <v>695</v>
      </c>
      <c r="R123" s="309"/>
      <c r="S123" s="309" t="s">
        <v>689</v>
      </c>
      <c r="T123" s="309" t="s">
        <v>691</v>
      </c>
      <c r="V123" s="175"/>
      <c r="W123" s="175" t="s">
        <v>696</v>
      </c>
      <c r="X123" s="309"/>
      <c r="AB123" s="175"/>
      <c r="AF123" s="175"/>
      <c r="AG123" s="297"/>
      <c r="AH123" s="175"/>
      <c r="AJ123" s="175"/>
      <c r="AK123" s="300"/>
      <c r="AM123" s="175"/>
      <c r="AN123" s="175"/>
      <c r="AO123" s="175"/>
      <c r="AP123" s="175"/>
      <c r="AR123" s="175"/>
      <c r="AS123" s="175"/>
      <c r="AT123" s="175"/>
      <c r="AU123" s="312"/>
      <c r="AV123" s="175"/>
      <c r="AX123" s="313"/>
      <c r="AY123" s="312"/>
      <c r="AZ123" s="312"/>
      <c r="BA123" s="297"/>
      <c r="BB123" s="297"/>
      <c r="BC123" s="312"/>
      <c r="BD123" s="297"/>
    </row>
    <row r="124" spans="1:56" s="137" customFormat="1" ht="85.5">
      <c r="A124" s="30">
        <v>122</v>
      </c>
      <c r="B124" s="266" t="s">
        <v>661</v>
      </c>
      <c r="C124" s="314"/>
      <c r="D124" s="315" t="s">
        <v>697</v>
      </c>
      <c r="E124" s="316"/>
      <c r="F124" s="317" t="s">
        <v>1666</v>
      </c>
      <c r="G124" s="197" t="s">
        <v>698</v>
      </c>
      <c r="H124" s="71" t="s">
        <v>33</v>
      </c>
      <c r="I124" s="36"/>
      <c r="J124" s="36"/>
      <c r="K124" s="156" t="s">
        <v>699</v>
      </c>
      <c r="L124" s="156" t="s">
        <v>700</v>
      </c>
      <c r="N124" s="156"/>
      <c r="O124" s="156" t="s">
        <v>701</v>
      </c>
      <c r="P124" s="156" t="s">
        <v>702</v>
      </c>
      <c r="S124" s="137" t="s">
        <v>703</v>
      </c>
      <c r="T124" s="300" t="s">
        <v>1667</v>
      </c>
      <c r="V124" s="156"/>
      <c r="W124" s="137" t="s">
        <v>704</v>
      </c>
      <c r="X124" s="156"/>
      <c r="AA124" s="156"/>
      <c r="AB124" s="156"/>
      <c r="AC124" s="311"/>
      <c r="AF124" s="156"/>
      <c r="AG124" s="156"/>
      <c r="AH124" s="156"/>
      <c r="AJ124" s="156"/>
      <c r="AO124" s="156"/>
      <c r="AP124" s="156"/>
      <c r="AR124" s="156"/>
      <c r="AS124" s="156"/>
      <c r="AW124" s="156"/>
      <c r="AY124" s="156"/>
      <c r="BB124" s="156"/>
    </row>
    <row r="125" spans="1:56" s="320" customFormat="1" ht="99.75">
      <c r="A125" s="76">
        <v>123</v>
      </c>
      <c r="B125" s="266" t="s">
        <v>661</v>
      </c>
      <c r="C125" s="317"/>
      <c r="D125" s="318" t="s">
        <v>705</v>
      </c>
      <c r="E125" s="33" t="s">
        <v>706</v>
      </c>
      <c r="F125" s="34" t="s">
        <v>1668</v>
      </c>
      <c r="G125" s="197" t="s">
        <v>698</v>
      </c>
      <c r="H125" s="71" t="s">
        <v>33</v>
      </c>
      <c r="I125" s="130"/>
      <c r="J125" s="130"/>
      <c r="K125" s="319" t="s">
        <v>707</v>
      </c>
      <c r="L125" s="319" t="s">
        <v>708</v>
      </c>
      <c r="N125" s="44"/>
      <c r="O125" s="44" t="s">
        <v>709</v>
      </c>
      <c r="P125" s="74" t="s">
        <v>710</v>
      </c>
      <c r="Q125" s="74"/>
      <c r="R125" s="74"/>
      <c r="S125" s="74" t="s">
        <v>711</v>
      </c>
      <c r="T125" s="74" t="s">
        <v>712</v>
      </c>
      <c r="U125" s="44"/>
      <c r="V125" s="43"/>
      <c r="W125" s="74" t="s">
        <v>713</v>
      </c>
      <c r="X125" s="74"/>
      <c r="Y125" s="44"/>
      <c r="Z125" s="74"/>
      <c r="AA125" s="74"/>
      <c r="AB125" s="145"/>
      <c r="AC125" s="44"/>
      <c r="AF125" s="74"/>
      <c r="AG125" s="74"/>
      <c r="AH125" s="74"/>
      <c r="AI125" s="44"/>
      <c r="AJ125" s="74"/>
      <c r="AK125" s="74"/>
      <c r="AL125" s="44"/>
      <c r="AM125" s="74"/>
      <c r="AN125" s="74"/>
      <c r="AO125" s="74"/>
      <c r="AR125" s="44"/>
      <c r="AS125" s="74"/>
      <c r="AV125" s="74"/>
      <c r="AW125" s="74"/>
      <c r="AX125" s="44"/>
      <c r="AY125" s="74"/>
      <c r="AZ125" s="319"/>
      <c r="BB125" s="319"/>
    </row>
    <row r="126" spans="1:56" s="320" customFormat="1" ht="132">
      <c r="A126" s="15">
        <v>124</v>
      </c>
      <c r="B126" s="266" t="s">
        <v>661</v>
      </c>
      <c r="C126" s="80" t="s">
        <v>75</v>
      </c>
      <c r="D126" s="315" t="s">
        <v>714</v>
      </c>
      <c r="E126" s="321"/>
      <c r="F126" s="34" t="s">
        <v>1669</v>
      </c>
      <c r="G126" s="197" t="s">
        <v>715</v>
      </c>
      <c r="H126" s="71" t="s">
        <v>33</v>
      </c>
      <c r="I126" s="36"/>
      <c r="J126" s="36"/>
      <c r="K126" s="320" t="s">
        <v>716</v>
      </c>
      <c r="L126" s="320" t="s">
        <v>38</v>
      </c>
      <c r="N126" s="44"/>
      <c r="O126" s="44" t="s">
        <v>717</v>
      </c>
      <c r="P126" s="44" t="s">
        <v>718</v>
      </c>
      <c r="Q126" s="74"/>
      <c r="R126" s="74"/>
      <c r="S126" s="74" t="s">
        <v>719</v>
      </c>
      <c r="T126" s="74" t="s">
        <v>38</v>
      </c>
      <c r="U126" s="44"/>
      <c r="V126" s="43"/>
      <c r="W126" s="74" t="s">
        <v>720</v>
      </c>
      <c r="X126" s="74"/>
      <c r="Y126" s="44"/>
      <c r="Z126" s="74"/>
      <c r="AA126" s="74"/>
      <c r="AB126" s="145"/>
      <c r="AC126" s="44"/>
      <c r="AF126" s="74"/>
      <c r="AG126" s="74"/>
      <c r="AH126" s="74"/>
      <c r="AI126" s="44"/>
      <c r="AJ126" s="74"/>
      <c r="AK126" s="74"/>
      <c r="AL126" s="44"/>
      <c r="AM126" s="74"/>
      <c r="AN126" s="74"/>
      <c r="AO126" s="74"/>
      <c r="AR126" s="44"/>
      <c r="AS126" s="74"/>
      <c r="AV126" s="74"/>
      <c r="AW126" s="74"/>
      <c r="AX126" s="44"/>
      <c r="AY126" s="74"/>
      <c r="AZ126" s="319"/>
      <c r="BB126" s="319"/>
    </row>
    <row r="127" spans="1:56" s="137" customFormat="1" ht="396" customHeight="1">
      <c r="A127" s="64">
        <v>125</v>
      </c>
      <c r="B127" s="266" t="s">
        <v>661</v>
      </c>
      <c r="C127" s="100" t="s">
        <v>75</v>
      </c>
      <c r="D127" s="322" t="s">
        <v>180</v>
      </c>
      <c r="E127" s="323" t="s">
        <v>721</v>
      </c>
      <c r="F127" s="324" t="s">
        <v>1670</v>
      </c>
      <c r="G127" s="325" t="s">
        <v>698</v>
      </c>
      <c r="H127" s="71" t="s">
        <v>33</v>
      </c>
      <c r="I127" s="326"/>
      <c r="J127" s="326"/>
      <c r="K127" s="327"/>
      <c r="L127" s="327"/>
      <c r="M127" s="327"/>
      <c r="N127" s="327"/>
      <c r="O127" s="327"/>
      <c r="P127" s="327"/>
      <c r="Q127" s="327"/>
      <c r="R127" s="327"/>
      <c r="S127" s="327"/>
      <c r="T127" s="327"/>
      <c r="U127" s="327"/>
      <c r="V127" s="328"/>
      <c r="W127" s="327"/>
      <c r="X127" s="327"/>
      <c r="Y127" s="327"/>
      <c r="Z127" s="327"/>
      <c r="AA127" s="327"/>
      <c r="AB127" s="327"/>
      <c r="AC127" s="327"/>
      <c r="AD127" s="327"/>
      <c r="AE127" s="327"/>
      <c r="AF127" s="328"/>
      <c r="AG127" s="327"/>
      <c r="AH127" s="327"/>
      <c r="AI127" s="327"/>
      <c r="AJ127" s="327"/>
      <c r="AK127" s="327"/>
      <c r="AL127" s="327"/>
      <c r="AM127" s="327"/>
      <c r="AN127" s="329"/>
    </row>
  </sheetData>
  <customSheetViews>
    <customSheetView guid="{474E459E-896F-4A5C-9AEF-EF74FE53C424}" hiddenRows="1" hiddenColumns="1">
      <pageMargins left="0.7" right="0.7" top="0.75" bottom="0.75" header="0.3" footer="0.3"/>
    </customSheetView>
  </customSheetViews>
  <mergeCells count="2">
    <mergeCell ref="I27:I30"/>
    <mergeCell ref="I31:I45"/>
  </mergeCells>
  <phoneticPr fontId="155" type="noConversion"/>
  <hyperlinks>
    <hyperlink ref="T3" r:id="rId1" xr:uid="{00000000-0004-0000-0000-000000000000}"/>
    <hyperlink ref="F4" r:id="rId2" xr:uid="{00000000-0004-0000-0000-000001000000}"/>
    <hyperlink ref="K4" r:id="rId3" xr:uid="{00000000-0004-0000-0000-000002000000}"/>
    <hyperlink ref="F8" r:id="rId4" xr:uid="{00000000-0004-0000-0000-000003000000}"/>
    <hyperlink ref="P15" r:id="rId5" xr:uid="{00000000-0004-0000-0000-000004000000}"/>
    <hyperlink ref="P16" r:id="rId6" xr:uid="{00000000-0004-0000-0000-000005000000}"/>
    <hyperlink ref="T18" r:id="rId7" xr:uid="{00000000-0004-0000-0000-000006000000}"/>
    <hyperlink ref="F21" r:id="rId8" xr:uid="{00000000-0004-0000-0000-000007000000}"/>
    <hyperlink ref="T21" r:id="rId9" xr:uid="{00000000-0004-0000-0000-000008000000}"/>
    <hyperlink ref="T23" r:id="rId10" xr:uid="{00000000-0004-0000-0000-000009000000}"/>
    <hyperlink ref="E24" r:id="rId11" xr:uid="{00000000-0004-0000-0000-00000A000000}"/>
    <hyperlink ref="L24" r:id="rId12" xr:uid="{00000000-0004-0000-0000-00000B000000}"/>
    <hyperlink ref="T24" r:id="rId13" xr:uid="{00000000-0004-0000-0000-00000C000000}"/>
    <hyperlink ref="L25" r:id="rId14" xr:uid="{00000000-0004-0000-0000-00000D000000}"/>
    <hyperlink ref="W29" r:id="rId15" xr:uid="{00000000-0004-0000-0000-00000E000000}"/>
    <hyperlink ref="P30" r:id="rId16" xr:uid="{00000000-0004-0000-0000-00000F000000}"/>
    <hyperlink ref="T124" r:id="rId17" xr:uid="{00000000-0004-0000-0000-00001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支撑中心目标"/>
  <dimension ref="A1:BD20"/>
  <sheetViews>
    <sheetView workbookViewId="0">
      <pane ySplit="1" topLeftCell="A2" activePane="bottomLeft" state="frozen"/>
      <selection pane="bottomLeft" activeCell="I2" sqref="I2"/>
    </sheetView>
  </sheetViews>
  <sheetFormatPr defaultColWidth="14" defaultRowHeight="18" customHeight="1"/>
  <cols>
    <col min="1" max="1" width="4.75" customWidth="1"/>
    <col min="2" max="2" width="10.25" customWidth="1"/>
    <col min="3" max="4" width="16.875" customWidth="1"/>
    <col min="5" max="5" width="22" customWidth="1"/>
    <col min="6" max="6" width="74.5" customWidth="1"/>
  </cols>
  <sheetData>
    <row r="1" spans="1:56" ht="65.25" customHeight="1">
      <c r="A1" s="330" t="s">
        <v>0</v>
      </c>
      <c r="B1" s="331" t="s">
        <v>1</v>
      </c>
      <c r="C1" s="331" t="s">
        <v>1577</v>
      </c>
      <c r="D1" s="332" t="s">
        <v>2</v>
      </c>
      <c r="E1" s="333" t="s">
        <v>3</v>
      </c>
      <c r="F1" s="332" t="s">
        <v>4</v>
      </c>
      <c r="G1" s="333" t="s">
        <v>5</v>
      </c>
      <c r="H1" s="11" t="s">
        <v>6</v>
      </c>
      <c r="I1" s="334" t="s">
        <v>7</v>
      </c>
      <c r="J1" s="335" t="s">
        <v>8</v>
      </c>
      <c r="K1" s="13" t="s">
        <v>9</v>
      </c>
      <c r="L1" s="13" t="s">
        <v>10</v>
      </c>
      <c r="M1" s="13" t="s">
        <v>11</v>
      </c>
      <c r="N1" s="13" t="s">
        <v>12</v>
      </c>
      <c r="O1" s="13" t="s">
        <v>13</v>
      </c>
      <c r="P1" s="13" t="s">
        <v>14</v>
      </c>
      <c r="Q1" s="13" t="s">
        <v>15</v>
      </c>
      <c r="R1" s="13" t="s">
        <v>16</v>
      </c>
      <c r="S1" s="13" t="s">
        <v>17</v>
      </c>
      <c r="T1" s="13" t="s">
        <v>18</v>
      </c>
      <c r="U1" s="14" t="s">
        <v>19</v>
      </c>
      <c r="V1" s="14" t="s">
        <v>20</v>
      </c>
      <c r="W1" s="13" t="s">
        <v>21</v>
      </c>
      <c r="X1" s="13" t="s">
        <v>22</v>
      </c>
      <c r="Y1" s="13" t="s">
        <v>23</v>
      </c>
      <c r="Z1" s="13" t="s">
        <v>24</v>
      </c>
      <c r="AA1" s="13" t="s">
        <v>25</v>
      </c>
      <c r="AB1" s="13" t="s">
        <v>26</v>
      </c>
      <c r="AC1" s="13" t="s">
        <v>27</v>
      </c>
      <c r="AD1" s="13" t="s">
        <v>28</v>
      </c>
      <c r="AE1" s="13"/>
      <c r="AF1" s="14"/>
      <c r="AG1" s="13"/>
      <c r="AH1" s="13"/>
      <c r="AI1" s="13"/>
      <c r="AJ1" s="13"/>
      <c r="AK1" s="13"/>
      <c r="AL1" s="13"/>
      <c r="AM1" s="13"/>
      <c r="AN1" s="13"/>
      <c r="AO1" s="13"/>
      <c r="AP1" s="13"/>
      <c r="AQ1" s="13"/>
      <c r="AR1" s="13"/>
      <c r="AS1" s="13"/>
      <c r="AT1" s="13"/>
      <c r="AU1" s="13"/>
      <c r="AV1" s="13"/>
      <c r="AW1" s="13"/>
      <c r="AX1" s="13"/>
      <c r="AY1" s="13"/>
      <c r="AZ1" s="13"/>
      <c r="BA1" s="13"/>
      <c r="BB1" s="13"/>
      <c r="BC1" s="13"/>
      <c r="BD1" s="13"/>
    </row>
    <row r="2" spans="1:56" ht="206.25" customHeight="1">
      <c r="A2">
        <v>1</v>
      </c>
      <c r="B2" s="336" t="s">
        <v>722</v>
      </c>
      <c r="C2" s="116" t="s">
        <v>75</v>
      </c>
      <c r="D2" s="337" t="s">
        <v>723</v>
      </c>
      <c r="E2" s="337" t="s">
        <v>724</v>
      </c>
      <c r="F2" s="338" t="s">
        <v>1671</v>
      </c>
      <c r="G2" t="s">
        <v>343</v>
      </c>
      <c r="H2" t="s">
        <v>33</v>
      </c>
    </row>
    <row r="3" spans="1:56" ht="301.5" customHeight="1">
      <c r="A3">
        <v>2</v>
      </c>
      <c r="B3" s="339" t="s">
        <v>722</v>
      </c>
      <c r="C3" s="116" t="s">
        <v>75</v>
      </c>
      <c r="D3" s="337" t="s">
        <v>725</v>
      </c>
      <c r="E3" s="337" t="s">
        <v>726</v>
      </c>
      <c r="F3" s="338" t="s">
        <v>1672</v>
      </c>
      <c r="G3" t="s">
        <v>799</v>
      </c>
      <c r="H3" t="s">
        <v>33</v>
      </c>
    </row>
    <row r="4" spans="1:56" ht="345" customHeight="1">
      <c r="A4">
        <v>3</v>
      </c>
      <c r="B4" s="339" t="s">
        <v>722</v>
      </c>
      <c r="C4" s="116" t="s">
        <v>75</v>
      </c>
      <c r="D4" s="337" t="s">
        <v>727</v>
      </c>
      <c r="E4" s="337"/>
      <c r="F4" s="340" t="s">
        <v>1673</v>
      </c>
      <c r="G4" t="s">
        <v>481</v>
      </c>
      <c r="H4" t="s">
        <v>33</v>
      </c>
    </row>
    <row r="5" spans="1:56" ht="301.5" customHeight="1">
      <c r="A5">
        <v>4</v>
      </c>
      <c r="B5" s="339" t="s">
        <v>722</v>
      </c>
      <c r="C5" s="337"/>
      <c r="D5" s="337" t="s">
        <v>728</v>
      </c>
      <c r="E5" s="337" t="s">
        <v>729</v>
      </c>
      <c r="F5" s="338" t="s">
        <v>1674</v>
      </c>
      <c r="G5" t="s">
        <v>318</v>
      </c>
      <c r="H5" t="s">
        <v>33</v>
      </c>
    </row>
    <row r="6" spans="1:56" s="341" customFormat="1" ht="267" customHeight="1">
      <c r="A6" s="768">
        <v>5</v>
      </c>
      <c r="B6" s="342" t="s">
        <v>730</v>
      </c>
      <c r="C6" s="116" t="s">
        <v>75</v>
      </c>
      <c r="D6" s="342" t="s">
        <v>731</v>
      </c>
      <c r="E6" s="342"/>
      <c r="F6" s="343" t="s">
        <v>1675</v>
      </c>
      <c r="G6" t="s">
        <v>798</v>
      </c>
      <c r="H6" t="s">
        <v>33</v>
      </c>
    </row>
    <row r="7" spans="1:56" ht="265.5" customHeight="1">
      <c r="A7">
        <v>6</v>
      </c>
      <c r="B7" s="342" t="s">
        <v>730</v>
      </c>
      <c r="C7" s="116" t="s">
        <v>75</v>
      </c>
      <c r="D7" s="337" t="s">
        <v>732</v>
      </c>
      <c r="E7" s="337"/>
      <c r="F7" s="340" t="s">
        <v>1676</v>
      </c>
      <c r="G7" s="341" t="s">
        <v>1576</v>
      </c>
      <c r="H7" t="s">
        <v>33</v>
      </c>
    </row>
    <row r="8" spans="1:56" ht="303" customHeight="1">
      <c r="A8">
        <v>7</v>
      </c>
      <c r="B8" s="342" t="s">
        <v>730</v>
      </c>
      <c r="C8" s="116" t="s">
        <v>75</v>
      </c>
      <c r="D8" s="337" t="s">
        <v>733</v>
      </c>
      <c r="E8" s="337"/>
      <c r="F8" s="338" t="s">
        <v>1677</v>
      </c>
      <c r="G8" t="s">
        <v>798</v>
      </c>
      <c r="H8" t="s">
        <v>33</v>
      </c>
    </row>
    <row r="9" spans="1:56" ht="305.25" customHeight="1">
      <c r="A9">
        <v>8</v>
      </c>
      <c r="B9" s="342" t="s">
        <v>730</v>
      </c>
      <c r="C9" s="116" t="s">
        <v>75</v>
      </c>
      <c r="D9" s="337" t="s">
        <v>734</v>
      </c>
      <c r="E9" s="337" t="s">
        <v>735</v>
      </c>
      <c r="F9" s="338" t="s">
        <v>1678</v>
      </c>
      <c r="G9" s="341" t="s">
        <v>1576</v>
      </c>
      <c r="H9" t="s">
        <v>33</v>
      </c>
    </row>
    <row r="10" spans="1:56" s="341" customFormat="1" ht="293.25" customHeight="1">
      <c r="A10" s="768">
        <v>9</v>
      </c>
      <c r="B10" s="342" t="s">
        <v>736</v>
      </c>
      <c r="C10" s="116" t="s">
        <v>75</v>
      </c>
      <c r="D10" s="342" t="s">
        <v>737</v>
      </c>
      <c r="E10" s="342"/>
      <c r="F10" s="343" t="s">
        <v>1679</v>
      </c>
      <c r="G10" s="341" t="s">
        <v>174</v>
      </c>
      <c r="H10" t="s">
        <v>33</v>
      </c>
    </row>
    <row r="11" spans="1:56" ht="289.5" customHeight="1">
      <c r="A11">
        <v>10</v>
      </c>
      <c r="B11" s="342" t="s">
        <v>736</v>
      </c>
      <c r="C11" s="116" t="s">
        <v>75</v>
      </c>
      <c r="D11" s="337" t="s">
        <v>738</v>
      </c>
      <c r="E11" s="337"/>
      <c r="F11" s="344" t="s">
        <v>1680</v>
      </c>
      <c r="G11" s="341" t="s">
        <v>174</v>
      </c>
      <c r="H11" t="s">
        <v>33</v>
      </c>
    </row>
    <row r="12" spans="1:56" ht="409.6" customHeight="1">
      <c r="A12">
        <v>10</v>
      </c>
      <c r="B12" s="345" t="s">
        <v>739</v>
      </c>
      <c r="C12" s="116" t="s">
        <v>75</v>
      </c>
      <c r="D12" s="337" t="s">
        <v>740</v>
      </c>
      <c r="E12" s="337"/>
      <c r="F12" s="338" t="s">
        <v>1681</v>
      </c>
      <c r="G12" t="s">
        <v>1046</v>
      </c>
      <c r="H12" t="s">
        <v>33</v>
      </c>
    </row>
    <row r="13" spans="1:56" ht="409.6" customHeight="1">
      <c r="A13">
        <v>10</v>
      </c>
      <c r="B13" s="345" t="s">
        <v>739</v>
      </c>
      <c r="C13" s="116" t="s">
        <v>75</v>
      </c>
      <c r="D13" s="337" t="s">
        <v>741</v>
      </c>
      <c r="E13" s="337"/>
      <c r="F13" s="346" t="s">
        <v>1682</v>
      </c>
      <c r="G13" t="s">
        <v>1046</v>
      </c>
      <c r="H13" t="s">
        <v>33</v>
      </c>
    </row>
    <row r="14" spans="1:56" ht="64.5" customHeight="1">
      <c r="B14" s="345"/>
      <c r="C14" s="337"/>
      <c r="D14" s="337"/>
      <c r="E14" s="337"/>
    </row>
    <row r="15" spans="1:56" ht="75" customHeight="1">
      <c r="B15" s="345"/>
      <c r="C15" s="337"/>
      <c r="D15" s="337"/>
      <c r="E15" s="337"/>
    </row>
    <row r="16" spans="1:56" ht="45" customHeight="1">
      <c r="B16" s="345"/>
      <c r="C16" s="337"/>
      <c r="D16" s="337"/>
      <c r="E16" s="337"/>
    </row>
    <row r="17" spans="2:6" ht="45" customHeight="1">
      <c r="B17" s="345"/>
      <c r="C17" s="337"/>
      <c r="D17" s="337"/>
      <c r="E17" s="337"/>
      <c r="F17" s="347"/>
    </row>
    <row r="18" spans="2:6" ht="45" customHeight="1">
      <c r="B18" s="345"/>
      <c r="C18" s="337"/>
      <c r="D18" s="337"/>
      <c r="E18" s="337"/>
    </row>
    <row r="19" spans="2:6" ht="45" customHeight="1">
      <c r="B19" s="345"/>
      <c r="C19" s="337"/>
      <c r="D19" s="337"/>
      <c r="E19" s="337"/>
    </row>
    <row r="20" spans="2:6" ht="45" customHeight="1">
      <c r="B20" s="345"/>
      <c r="C20" s="337"/>
      <c r="D20" s="337"/>
      <c r="E20" s="337"/>
    </row>
  </sheetData>
  <phoneticPr fontId="155"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2026年GS任务"/>
  <dimension ref="A1:M103"/>
  <sheetViews>
    <sheetView workbookViewId="0"/>
  </sheetViews>
  <sheetFormatPr defaultColWidth="14" defaultRowHeight="18" customHeight="1"/>
  <cols>
    <col min="1" max="1" width="15.75" customWidth="1"/>
    <col min="2" max="2" width="11" customWidth="1"/>
    <col min="3" max="3" width="44.75" customWidth="1"/>
    <col min="4" max="4" width="16.875" customWidth="1"/>
    <col min="5" max="5" width="73.75" customWidth="1"/>
    <col min="6" max="6" width="12.625" customWidth="1"/>
    <col min="7" max="7" width="17.25" customWidth="1"/>
    <col min="8" max="8" width="30.375" customWidth="1"/>
    <col min="9" max="9" width="13.625"/>
    <col min="10" max="10" width="37.875" customWidth="1"/>
    <col min="11" max="11" width="41.125" customWidth="1"/>
    <col min="12" max="12" width="37.875" customWidth="1"/>
    <col min="13" max="13" width="27.875" customWidth="1"/>
  </cols>
  <sheetData>
    <row r="1" spans="1:9" ht="39" customHeight="1">
      <c r="A1" s="802" t="s">
        <v>742</v>
      </c>
      <c r="B1" s="803"/>
      <c r="C1" s="803"/>
      <c r="D1" s="803"/>
      <c r="E1" s="803"/>
      <c r="F1" s="803"/>
      <c r="G1" s="803"/>
      <c r="H1" s="803"/>
    </row>
    <row r="2" spans="1:9" ht="17.25" customHeight="1">
      <c r="A2" s="804"/>
      <c r="B2" s="805"/>
      <c r="C2" s="348"/>
      <c r="D2" s="348"/>
      <c r="E2" s="348"/>
      <c r="F2" s="348"/>
      <c r="G2" s="348"/>
      <c r="H2" s="350"/>
    </row>
    <row r="3" spans="1:9" ht="24" customHeight="1">
      <c r="A3" s="351"/>
      <c r="B3" s="352"/>
      <c r="C3" s="353"/>
      <c r="D3" s="354"/>
      <c r="E3" s="353"/>
      <c r="F3" s="354"/>
      <c r="G3" s="353"/>
      <c r="H3" s="355"/>
      <c r="I3" s="137"/>
    </row>
    <row r="4" spans="1:9" ht="84.75" customHeight="1">
      <c r="A4" s="806"/>
      <c r="B4" s="356"/>
      <c r="C4" s="357"/>
      <c r="D4" s="358"/>
      <c r="E4" s="359"/>
      <c r="F4" s="358"/>
      <c r="G4" s="358"/>
      <c r="H4" s="360"/>
      <c r="I4" s="137"/>
    </row>
    <row r="5" spans="1:9" ht="84.75" customHeight="1">
      <c r="A5" s="807"/>
      <c r="B5" s="361"/>
      <c r="C5" s="362"/>
      <c r="D5" s="363"/>
      <c r="E5" s="364"/>
      <c r="F5" s="363"/>
      <c r="G5" s="363"/>
      <c r="H5" s="349"/>
      <c r="I5" s="137"/>
    </row>
    <row r="6" spans="1:9" ht="84.75" customHeight="1">
      <c r="A6" s="807"/>
      <c r="B6" s="361"/>
      <c r="C6" s="362"/>
      <c r="D6" s="363"/>
      <c r="E6" s="364"/>
      <c r="F6" s="363"/>
      <c r="G6" s="363"/>
      <c r="H6" s="349"/>
      <c r="I6" s="137"/>
    </row>
    <row r="7" spans="1:9" ht="84.75" customHeight="1">
      <c r="A7" s="807"/>
      <c r="B7" s="361"/>
      <c r="C7" s="362"/>
      <c r="D7" s="363"/>
      <c r="E7" s="364"/>
      <c r="F7" s="363"/>
      <c r="G7" s="363"/>
      <c r="H7" s="349"/>
      <c r="I7" s="137"/>
    </row>
    <row r="8" spans="1:9" ht="84.75" customHeight="1">
      <c r="A8" s="807"/>
      <c r="B8" s="361"/>
      <c r="C8" s="362"/>
      <c r="D8" s="363"/>
      <c r="E8" s="364"/>
      <c r="F8" s="363"/>
      <c r="G8" s="363"/>
      <c r="H8" s="349"/>
      <c r="I8" s="137"/>
    </row>
    <row r="9" spans="1:9" ht="84.75" customHeight="1">
      <c r="A9" s="807"/>
      <c r="B9" s="361"/>
      <c r="C9" s="362"/>
      <c r="D9" s="363"/>
      <c r="E9" s="364"/>
      <c r="F9" s="363"/>
      <c r="G9" s="363"/>
      <c r="H9" s="349"/>
      <c r="I9" s="137"/>
    </row>
    <row r="10" spans="1:9" ht="84.75" customHeight="1">
      <c r="A10" s="807"/>
      <c r="B10" s="361"/>
      <c r="C10" s="362"/>
      <c r="D10" s="363"/>
      <c r="E10" s="364"/>
      <c r="F10" s="363"/>
      <c r="G10" s="363"/>
      <c r="H10" s="349"/>
      <c r="I10" s="137"/>
    </row>
    <row r="11" spans="1:9" ht="84.75" customHeight="1">
      <c r="A11" s="807"/>
      <c r="B11" s="361"/>
      <c r="C11" s="362"/>
      <c r="D11" s="363"/>
      <c r="E11" s="364"/>
      <c r="F11" s="363"/>
      <c r="G11" s="363"/>
      <c r="H11" s="349"/>
      <c r="I11" s="137"/>
    </row>
    <row r="12" spans="1:9" ht="84.75" customHeight="1">
      <c r="A12" s="807"/>
      <c r="B12" s="361"/>
      <c r="C12" s="362"/>
      <c r="D12" s="363"/>
      <c r="E12" s="364"/>
      <c r="F12" s="363"/>
      <c r="G12" s="363"/>
      <c r="H12" s="349"/>
      <c r="I12" s="137"/>
    </row>
    <row r="13" spans="1:9" ht="84.75" customHeight="1">
      <c r="A13" s="808"/>
      <c r="B13" s="361"/>
      <c r="C13" s="362"/>
      <c r="D13" s="363"/>
      <c r="E13" s="364"/>
      <c r="F13" s="363"/>
      <c r="G13" s="363"/>
      <c r="H13" s="349"/>
      <c r="I13" s="137"/>
    </row>
    <row r="14" spans="1:9" ht="84.75" customHeight="1">
      <c r="A14" s="809"/>
      <c r="B14" s="361"/>
      <c r="C14" s="362"/>
      <c r="D14" s="363"/>
      <c r="E14" s="364"/>
      <c r="F14" s="364"/>
      <c r="G14" s="363"/>
      <c r="H14" s="349"/>
      <c r="I14" s="137"/>
    </row>
    <row r="15" spans="1:9" ht="84.75" customHeight="1">
      <c r="A15" s="809"/>
      <c r="B15" s="361"/>
      <c r="C15" s="362"/>
      <c r="D15" s="363"/>
      <c r="E15" s="364"/>
      <c r="F15" s="364"/>
      <c r="G15" s="363"/>
      <c r="H15" s="349"/>
      <c r="I15" s="137"/>
    </row>
    <row r="16" spans="1:9" ht="84.75" customHeight="1">
      <c r="A16" s="809"/>
      <c r="B16" s="361"/>
      <c r="C16" s="362"/>
      <c r="D16" s="363"/>
      <c r="E16" s="364"/>
      <c r="F16" s="364"/>
      <c r="G16" s="363"/>
      <c r="H16" s="349"/>
      <c r="I16" s="137"/>
    </row>
    <row r="17" spans="1:13" ht="84.75" customHeight="1">
      <c r="A17" s="809"/>
      <c r="B17" s="361"/>
      <c r="C17" s="362"/>
      <c r="D17" s="363"/>
      <c r="E17" s="364"/>
      <c r="F17" s="364"/>
      <c r="G17" s="363"/>
      <c r="H17" s="349"/>
      <c r="I17" s="137"/>
    </row>
    <row r="18" spans="1:13" ht="84.75" customHeight="1">
      <c r="A18" s="808"/>
      <c r="B18" s="361"/>
      <c r="C18" s="806"/>
      <c r="D18" s="358"/>
      <c r="E18" s="359"/>
      <c r="F18" s="358"/>
      <c r="G18" s="358"/>
      <c r="H18" s="360"/>
      <c r="I18" s="137"/>
      <c r="J18" s="337"/>
    </row>
    <row r="19" spans="1:13" ht="84.75" customHeight="1">
      <c r="A19" s="809"/>
      <c r="B19" s="361"/>
      <c r="C19" s="807"/>
      <c r="D19" s="363"/>
      <c r="E19" s="364"/>
      <c r="F19" s="363"/>
      <c r="G19" s="363"/>
      <c r="H19" s="349"/>
      <c r="I19" s="137"/>
      <c r="J19" s="337"/>
    </row>
    <row r="20" spans="1:13" ht="84.75" customHeight="1">
      <c r="A20" s="809"/>
      <c r="B20" s="361"/>
      <c r="C20" s="807"/>
      <c r="D20" s="366"/>
      <c r="E20" s="364"/>
      <c r="F20" s="363"/>
      <c r="G20" s="363"/>
      <c r="H20" s="349"/>
      <c r="I20" s="137"/>
      <c r="J20" s="337"/>
    </row>
    <row r="21" spans="1:13" ht="84.75" customHeight="1">
      <c r="A21" s="808"/>
      <c r="B21" s="361"/>
      <c r="C21" s="810"/>
      <c r="D21" s="363"/>
      <c r="E21" s="364"/>
      <c r="F21" s="363"/>
      <c r="G21" s="363"/>
      <c r="H21" s="349"/>
      <c r="I21" s="137"/>
      <c r="J21" s="337"/>
    </row>
    <row r="22" spans="1:13" ht="84.75" customHeight="1">
      <c r="A22" s="809"/>
      <c r="B22" s="361"/>
      <c r="C22" s="809"/>
      <c r="D22" s="363"/>
      <c r="E22" s="364"/>
      <c r="F22" s="363"/>
      <c r="G22" s="363"/>
      <c r="H22" s="349"/>
      <c r="I22" s="137"/>
      <c r="J22" s="337"/>
    </row>
    <row r="23" spans="1:13" ht="87" customHeight="1">
      <c r="A23" s="808"/>
      <c r="B23" s="361"/>
      <c r="C23" s="810"/>
      <c r="D23" s="363"/>
      <c r="E23" s="364"/>
      <c r="F23" s="363"/>
      <c r="G23" s="363"/>
      <c r="H23" s="349"/>
      <c r="I23" s="137"/>
      <c r="J23" s="337"/>
    </row>
    <row r="24" spans="1:13" ht="87" customHeight="1">
      <c r="A24" s="809"/>
      <c r="B24" s="361"/>
      <c r="C24" s="809"/>
      <c r="D24" s="363"/>
      <c r="E24" s="364"/>
      <c r="F24" s="363"/>
      <c r="G24" s="363"/>
      <c r="H24" s="349"/>
      <c r="I24" s="137"/>
      <c r="J24" s="337"/>
    </row>
    <row r="25" spans="1:13" ht="87" customHeight="1">
      <c r="A25" s="809"/>
      <c r="B25" s="361"/>
      <c r="C25" s="809"/>
      <c r="D25" s="363"/>
      <c r="E25" s="364"/>
      <c r="F25" s="363"/>
      <c r="G25" s="363"/>
      <c r="H25" s="349"/>
      <c r="I25" s="137"/>
      <c r="J25" s="337"/>
    </row>
    <row r="26" spans="1:13" ht="87" customHeight="1">
      <c r="A26" s="809"/>
      <c r="B26" s="361"/>
      <c r="C26" s="809"/>
      <c r="D26" s="363"/>
      <c r="E26" s="364"/>
      <c r="F26" s="363"/>
      <c r="G26" s="363"/>
      <c r="H26" s="349"/>
      <c r="I26" s="137"/>
      <c r="J26" s="337"/>
    </row>
    <row r="27" spans="1:13" ht="87" customHeight="1">
      <c r="A27" s="809"/>
      <c r="B27" s="361"/>
      <c r="C27" s="809"/>
      <c r="D27" s="363"/>
      <c r="E27" s="364"/>
      <c r="F27" s="363"/>
      <c r="G27" s="363"/>
      <c r="H27" s="349"/>
      <c r="I27" s="137"/>
      <c r="J27" s="337"/>
    </row>
    <row r="28" spans="1:13" ht="75.75" customHeight="1">
      <c r="A28" s="808"/>
      <c r="B28" s="361"/>
      <c r="C28" s="364"/>
      <c r="D28" s="363"/>
      <c r="E28" s="364"/>
      <c r="F28" s="363"/>
      <c r="G28" s="363"/>
      <c r="H28" s="349"/>
      <c r="I28" s="137"/>
      <c r="J28" s="337"/>
      <c r="K28" s="367"/>
      <c r="L28" s="367"/>
      <c r="M28" s="367"/>
    </row>
    <row r="29" spans="1:13" ht="72" customHeight="1">
      <c r="A29" s="809"/>
      <c r="B29" s="361"/>
      <c r="C29" s="364"/>
      <c r="D29" s="363"/>
      <c r="E29" s="364"/>
      <c r="F29" s="363"/>
      <c r="G29" s="363"/>
      <c r="H29" s="349"/>
      <c r="I29" s="137"/>
      <c r="J29" s="337"/>
    </row>
    <row r="30" spans="1:13" ht="72" customHeight="1">
      <c r="A30" s="809"/>
      <c r="B30" s="361"/>
      <c r="C30" s="364"/>
      <c r="D30" s="363"/>
      <c r="E30" s="364"/>
      <c r="F30" s="363"/>
      <c r="G30" s="363"/>
      <c r="H30" s="349"/>
      <c r="I30" s="137"/>
      <c r="J30" s="337"/>
      <c r="K30" s="367"/>
      <c r="L30" s="367"/>
      <c r="M30" s="367"/>
    </row>
    <row r="31" spans="1:13" ht="106.5" customHeight="1">
      <c r="A31" s="809"/>
      <c r="B31" s="361"/>
      <c r="C31" s="364"/>
      <c r="D31" s="363"/>
      <c r="E31" s="364"/>
      <c r="F31" s="363"/>
      <c r="G31" s="363"/>
      <c r="H31" s="349"/>
      <c r="I31" s="137"/>
      <c r="J31" s="337"/>
      <c r="K31" s="367"/>
      <c r="L31" s="367"/>
      <c r="M31" s="367"/>
    </row>
    <row r="32" spans="1:13" ht="87" customHeight="1">
      <c r="A32" s="809"/>
      <c r="B32" s="361"/>
      <c r="C32" s="364"/>
      <c r="D32" s="363"/>
      <c r="E32" s="364"/>
      <c r="F32" s="363"/>
      <c r="G32" s="363"/>
      <c r="H32" s="349"/>
      <c r="I32" s="137"/>
      <c r="J32" s="337"/>
      <c r="K32" s="367"/>
      <c r="L32" s="367"/>
      <c r="M32" s="367"/>
    </row>
    <row r="33" spans="1:13" ht="87" customHeight="1">
      <c r="A33" s="808"/>
      <c r="B33" s="361"/>
      <c r="C33" s="364"/>
      <c r="D33" s="363"/>
      <c r="E33" s="364"/>
      <c r="F33" s="363"/>
      <c r="G33" s="363"/>
      <c r="H33" s="349"/>
      <c r="I33" s="137"/>
      <c r="J33" s="337"/>
      <c r="K33" s="367"/>
      <c r="L33" s="367"/>
      <c r="M33" s="367"/>
    </row>
    <row r="34" spans="1:13" ht="87" customHeight="1">
      <c r="A34" s="809"/>
      <c r="B34" s="361"/>
      <c r="C34" s="364"/>
      <c r="D34" s="363"/>
      <c r="E34" s="364"/>
      <c r="F34" s="363"/>
      <c r="G34" s="363"/>
      <c r="H34" s="349"/>
      <c r="I34" s="137"/>
      <c r="J34" s="337"/>
      <c r="K34" s="367"/>
      <c r="L34" s="367"/>
      <c r="M34" s="367"/>
    </row>
    <row r="35" spans="1:13" ht="120" customHeight="1">
      <c r="A35" s="809"/>
      <c r="B35" s="361"/>
      <c r="C35" s="364"/>
      <c r="D35" s="363"/>
      <c r="E35" s="364"/>
      <c r="F35" s="363"/>
      <c r="G35" s="363"/>
      <c r="H35" s="349"/>
      <c r="I35" s="137"/>
      <c r="J35" s="337"/>
      <c r="K35" s="337"/>
      <c r="L35" s="337"/>
      <c r="M35" s="337"/>
    </row>
    <row r="36" spans="1:13" ht="87" customHeight="1">
      <c r="A36" s="809"/>
      <c r="B36" s="361"/>
      <c r="C36" s="364"/>
      <c r="D36" s="363"/>
      <c r="E36" s="364"/>
      <c r="F36" s="363"/>
      <c r="G36" s="363"/>
      <c r="H36" s="349"/>
      <c r="I36" s="137"/>
      <c r="J36" s="368"/>
    </row>
    <row r="37" spans="1:13" ht="87" customHeight="1">
      <c r="A37" s="809"/>
      <c r="B37" s="361"/>
      <c r="C37" s="364"/>
      <c r="D37" s="363"/>
      <c r="E37" s="364"/>
      <c r="F37" s="363"/>
      <c r="G37" s="363"/>
      <c r="H37" s="349"/>
      <c r="I37" s="137"/>
      <c r="J37" s="368"/>
    </row>
    <row r="38" spans="1:13" ht="87" customHeight="1">
      <c r="A38" s="809"/>
      <c r="B38" s="361"/>
      <c r="C38" s="364"/>
      <c r="D38" s="363"/>
      <c r="E38" s="364"/>
      <c r="F38" s="363"/>
      <c r="G38" s="363"/>
      <c r="H38" s="349"/>
      <c r="I38" s="137"/>
      <c r="J38" s="368"/>
    </row>
    <row r="39" spans="1:13" ht="87" customHeight="1">
      <c r="A39" s="809"/>
      <c r="B39" s="361"/>
      <c r="C39" s="364"/>
      <c r="D39" s="363"/>
      <c r="E39" s="364"/>
      <c r="F39" s="363"/>
      <c r="G39" s="363"/>
      <c r="H39" s="349"/>
      <c r="I39" s="137"/>
      <c r="J39" s="337"/>
      <c r="K39" s="367"/>
      <c r="L39" s="367"/>
      <c r="M39" s="367"/>
    </row>
    <row r="40" spans="1:13" ht="87" customHeight="1">
      <c r="A40" s="809"/>
      <c r="B40" s="361"/>
      <c r="C40" s="364"/>
      <c r="D40" s="363"/>
      <c r="E40" s="364"/>
      <c r="F40" s="363"/>
      <c r="G40" s="363"/>
      <c r="H40" s="349"/>
      <c r="I40" s="137"/>
      <c r="J40" s="337"/>
      <c r="L40" s="337"/>
      <c r="M40" s="337"/>
    </row>
    <row r="41" spans="1:13" ht="87" customHeight="1">
      <c r="A41" s="809"/>
      <c r="B41" s="361"/>
      <c r="C41" s="364"/>
      <c r="D41" s="363"/>
      <c r="E41" s="364"/>
      <c r="F41" s="363"/>
      <c r="G41" s="363"/>
      <c r="H41" s="349"/>
      <c r="I41" s="137"/>
      <c r="J41" s="368"/>
    </row>
    <row r="42" spans="1:13" ht="87" customHeight="1">
      <c r="A42" s="808"/>
      <c r="B42" s="361"/>
      <c r="C42" s="808"/>
      <c r="D42" s="363"/>
      <c r="E42" s="364"/>
      <c r="F42" s="363"/>
      <c r="G42" s="363"/>
      <c r="H42" s="349"/>
      <c r="I42" s="137"/>
      <c r="J42" s="337"/>
    </row>
    <row r="43" spans="1:13" ht="102" customHeight="1">
      <c r="A43" s="809"/>
      <c r="B43" s="361"/>
      <c r="C43" s="809"/>
      <c r="D43" s="363"/>
      <c r="E43" s="364"/>
      <c r="F43" s="363"/>
      <c r="G43" s="363"/>
      <c r="H43" s="349"/>
      <c r="I43" s="137"/>
      <c r="J43" s="337"/>
    </row>
    <row r="44" spans="1:13" ht="87" customHeight="1">
      <c r="A44" s="809"/>
      <c r="B44" s="361"/>
      <c r="C44" s="809"/>
      <c r="D44" s="363"/>
      <c r="E44" s="364"/>
      <c r="F44" s="363"/>
      <c r="G44" s="363"/>
      <c r="H44" s="349"/>
      <c r="I44" s="137"/>
      <c r="J44" s="337"/>
    </row>
    <row r="45" spans="1:13" ht="87" customHeight="1">
      <c r="A45" s="809"/>
      <c r="B45" s="361"/>
      <c r="C45" s="809"/>
      <c r="D45" s="363"/>
      <c r="E45" s="364"/>
      <c r="F45" s="363"/>
      <c r="G45" s="363"/>
      <c r="H45" s="349"/>
      <c r="I45" s="137"/>
      <c r="J45" s="337"/>
    </row>
    <row r="46" spans="1:13" ht="87" customHeight="1">
      <c r="A46" s="809"/>
      <c r="B46" s="361"/>
      <c r="C46" s="809"/>
      <c r="D46" s="363"/>
      <c r="E46" s="364"/>
      <c r="F46" s="363"/>
      <c r="G46" s="363"/>
      <c r="H46" s="349"/>
      <c r="I46" s="137"/>
      <c r="J46" s="337"/>
    </row>
    <row r="47" spans="1:13" ht="87" customHeight="1">
      <c r="A47" s="809"/>
      <c r="B47" s="361"/>
      <c r="C47" s="809"/>
      <c r="D47" s="363"/>
      <c r="E47" s="364"/>
      <c r="F47" s="363"/>
      <c r="G47" s="363"/>
      <c r="H47" s="349"/>
      <c r="I47" s="137"/>
      <c r="J47" s="337"/>
    </row>
    <row r="48" spans="1:13" ht="87" customHeight="1">
      <c r="A48" s="809"/>
      <c r="B48" s="361"/>
      <c r="C48" s="809"/>
      <c r="D48" s="363"/>
      <c r="E48" s="364"/>
      <c r="F48" s="363"/>
      <c r="G48" s="363"/>
      <c r="H48" s="349"/>
      <c r="I48" s="137"/>
      <c r="J48" s="337"/>
    </row>
    <row r="49" spans="1:10" ht="87" customHeight="1">
      <c r="A49" s="809"/>
      <c r="B49" s="361"/>
      <c r="C49" s="809"/>
      <c r="D49" s="363"/>
      <c r="E49" s="364"/>
      <c r="F49" s="363"/>
      <c r="G49" s="363"/>
      <c r="H49" s="349"/>
      <c r="I49" s="137"/>
      <c r="J49" s="337"/>
    </row>
    <row r="50" spans="1:10" ht="87" customHeight="1">
      <c r="A50" s="365"/>
      <c r="B50" s="361"/>
      <c r="C50" s="364"/>
      <c r="D50" s="363"/>
      <c r="E50" s="364"/>
      <c r="F50" s="363"/>
      <c r="G50" s="363"/>
      <c r="H50" s="349"/>
      <c r="I50" s="137"/>
    </row>
    <row r="51" spans="1:10" ht="87" customHeight="1">
      <c r="A51" s="808"/>
      <c r="B51" s="361"/>
      <c r="C51" s="364"/>
      <c r="D51" s="363"/>
      <c r="E51" s="364"/>
      <c r="F51" s="363"/>
      <c r="G51" s="363"/>
      <c r="H51" s="349"/>
      <c r="I51" s="137"/>
    </row>
    <row r="52" spans="1:10" ht="87" customHeight="1">
      <c r="A52" s="809"/>
      <c r="B52" s="361"/>
      <c r="C52" s="364"/>
      <c r="D52" s="363"/>
      <c r="E52" s="364"/>
      <c r="F52" s="363"/>
      <c r="G52" s="363"/>
      <c r="H52" s="349"/>
      <c r="I52" s="137"/>
    </row>
    <row r="53" spans="1:10" ht="87" customHeight="1">
      <c r="A53" s="809"/>
      <c r="B53" s="361"/>
      <c r="C53" s="364"/>
      <c r="D53" s="363"/>
      <c r="E53" s="364"/>
      <c r="F53" s="363"/>
      <c r="G53" s="363"/>
      <c r="H53" s="349"/>
      <c r="I53" s="137"/>
    </row>
    <row r="54" spans="1:10" ht="87" customHeight="1">
      <c r="A54" s="809"/>
      <c r="B54" s="361"/>
      <c r="C54" s="364"/>
      <c r="D54" s="363"/>
      <c r="E54" s="364"/>
      <c r="F54" s="363"/>
      <c r="G54" s="363"/>
      <c r="H54" s="349"/>
      <c r="I54" s="137"/>
    </row>
    <row r="55" spans="1:10" ht="87" customHeight="1">
      <c r="A55" s="809"/>
      <c r="B55" s="361"/>
      <c r="C55" s="364"/>
      <c r="D55" s="363"/>
      <c r="E55" s="364"/>
      <c r="F55" s="363"/>
      <c r="G55" s="363"/>
      <c r="H55" s="349"/>
      <c r="I55" s="137"/>
    </row>
    <row r="56" spans="1:10" ht="87" customHeight="1">
      <c r="A56" s="808"/>
      <c r="B56" s="361"/>
      <c r="C56" s="810"/>
      <c r="D56" s="363"/>
      <c r="E56" s="364"/>
      <c r="F56" s="363"/>
      <c r="G56" s="363"/>
      <c r="H56" s="349"/>
      <c r="I56" s="137"/>
      <c r="J56" s="337"/>
    </row>
    <row r="57" spans="1:10" ht="87" customHeight="1">
      <c r="A57" s="809"/>
      <c r="B57" s="361"/>
      <c r="C57" s="809"/>
      <c r="D57" s="363"/>
      <c r="E57" s="364"/>
      <c r="F57" s="363"/>
      <c r="G57" s="363"/>
      <c r="H57" s="349"/>
      <c r="I57" s="137"/>
      <c r="J57" s="337"/>
    </row>
    <row r="58" spans="1:10" ht="87" customHeight="1">
      <c r="A58" s="809"/>
      <c r="B58" s="361"/>
      <c r="C58" s="809"/>
      <c r="D58" s="363"/>
      <c r="E58" s="364"/>
      <c r="F58" s="363"/>
      <c r="G58" s="363"/>
      <c r="H58" s="349"/>
      <c r="I58" s="137"/>
      <c r="J58" s="337"/>
    </row>
    <row r="59" spans="1:10" ht="87" customHeight="1">
      <c r="A59" s="809"/>
      <c r="B59" s="361"/>
      <c r="C59" s="809"/>
      <c r="D59" s="363"/>
      <c r="E59" s="364"/>
      <c r="F59" s="363"/>
      <c r="G59" s="363"/>
      <c r="H59" s="349"/>
      <c r="I59" s="137"/>
      <c r="J59" s="337"/>
    </row>
    <row r="60" spans="1:10" ht="87" customHeight="1">
      <c r="A60" s="365"/>
      <c r="B60" s="361"/>
      <c r="C60" s="364"/>
      <c r="D60" s="363"/>
      <c r="E60" s="364"/>
      <c r="F60" s="363"/>
      <c r="G60" s="363"/>
      <c r="H60" s="349"/>
      <c r="I60" s="137"/>
      <c r="J60" s="337"/>
    </row>
    <row r="61" spans="1:10" ht="87" customHeight="1">
      <c r="A61" s="808"/>
      <c r="B61" s="361"/>
      <c r="C61" s="810"/>
      <c r="D61" s="363"/>
      <c r="E61" s="364"/>
      <c r="F61" s="363"/>
      <c r="G61" s="363"/>
      <c r="H61" s="349"/>
      <c r="I61" s="137"/>
      <c r="J61" s="337"/>
    </row>
    <row r="62" spans="1:10" ht="87" customHeight="1">
      <c r="A62" s="809"/>
      <c r="B62" s="361"/>
      <c r="C62" s="809"/>
      <c r="D62" s="363"/>
      <c r="E62" s="364"/>
      <c r="F62" s="363"/>
      <c r="G62" s="363"/>
      <c r="H62" s="349"/>
      <c r="I62" s="137"/>
      <c r="J62" s="337"/>
    </row>
    <row r="63" spans="1:10" ht="87" customHeight="1">
      <c r="A63" s="808"/>
      <c r="B63" s="361"/>
      <c r="C63" s="364"/>
      <c r="D63" s="363"/>
      <c r="E63" s="364"/>
      <c r="F63" s="363"/>
      <c r="G63" s="363"/>
      <c r="H63" s="349"/>
      <c r="I63" s="137"/>
      <c r="J63" s="337"/>
    </row>
    <row r="64" spans="1:10" ht="87" customHeight="1">
      <c r="A64" s="809"/>
      <c r="B64" s="361"/>
      <c r="C64" s="364"/>
      <c r="D64" s="363"/>
      <c r="E64" s="364"/>
      <c r="F64" s="363"/>
      <c r="G64" s="363"/>
      <c r="H64" s="349"/>
      <c r="I64" s="137"/>
      <c r="J64" s="337"/>
    </row>
    <row r="65" spans="1:10" ht="87" customHeight="1">
      <c r="A65" s="809"/>
      <c r="B65" s="361"/>
      <c r="C65" s="364"/>
      <c r="D65" s="363"/>
      <c r="E65" s="364"/>
      <c r="F65" s="363"/>
      <c r="G65" s="363"/>
      <c r="H65" s="349"/>
      <c r="I65" s="137"/>
      <c r="J65" s="337"/>
    </row>
    <row r="66" spans="1:10" ht="87" customHeight="1">
      <c r="A66" s="808"/>
      <c r="B66" s="361"/>
      <c r="C66" s="810"/>
      <c r="D66" s="363"/>
      <c r="E66" s="364"/>
      <c r="F66" s="363"/>
      <c r="G66" s="363"/>
      <c r="H66" s="349"/>
      <c r="I66" s="137"/>
      <c r="J66" s="369"/>
    </row>
    <row r="67" spans="1:10" ht="87" customHeight="1">
      <c r="A67" s="809"/>
      <c r="B67" s="361"/>
      <c r="C67" s="809"/>
      <c r="D67" s="363"/>
      <c r="E67" s="364"/>
      <c r="F67" s="363"/>
      <c r="G67" s="363"/>
      <c r="H67" s="349"/>
      <c r="I67" s="137"/>
      <c r="J67" s="369"/>
    </row>
    <row r="68" spans="1:10" ht="106.5" customHeight="1">
      <c r="A68" s="809"/>
      <c r="B68" s="361"/>
      <c r="C68" s="364"/>
      <c r="D68" s="363"/>
      <c r="E68" s="364"/>
      <c r="F68" s="363"/>
      <c r="G68" s="363"/>
      <c r="H68" s="349"/>
      <c r="I68" s="137"/>
      <c r="J68" s="370"/>
    </row>
    <row r="69" spans="1:10" ht="90" customHeight="1">
      <c r="A69" s="808"/>
      <c r="B69" s="361"/>
      <c r="C69" s="364"/>
      <c r="D69" s="363"/>
      <c r="E69" s="364"/>
      <c r="F69" s="363"/>
      <c r="G69" s="363"/>
      <c r="H69" s="349"/>
      <c r="I69" s="137"/>
      <c r="J69" s="370"/>
    </row>
    <row r="70" spans="1:10" ht="87" customHeight="1">
      <c r="A70" s="809"/>
      <c r="B70" s="361"/>
      <c r="C70" s="364"/>
      <c r="D70" s="363"/>
      <c r="E70" s="364"/>
      <c r="F70" s="363"/>
      <c r="G70" s="363"/>
      <c r="H70" s="349"/>
      <c r="I70" s="137"/>
      <c r="J70" s="370"/>
    </row>
    <row r="71" spans="1:10" ht="87" customHeight="1">
      <c r="A71" s="809"/>
      <c r="B71" s="361"/>
      <c r="C71" s="364"/>
      <c r="D71" s="363"/>
      <c r="E71" s="364"/>
      <c r="F71" s="363"/>
      <c r="G71" s="363"/>
      <c r="H71" s="349"/>
      <c r="I71" s="137"/>
      <c r="J71" s="370"/>
    </row>
    <row r="72" spans="1:10" ht="87" customHeight="1">
      <c r="A72" s="809"/>
      <c r="B72" s="361"/>
      <c r="C72" s="364"/>
      <c r="D72" s="363"/>
      <c r="E72" s="364"/>
      <c r="F72" s="363"/>
      <c r="G72" s="363"/>
      <c r="H72" s="349"/>
      <c r="I72" s="137"/>
      <c r="J72" s="370"/>
    </row>
    <row r="73" spans="1:10" ht="87" customHeight="1">
      <c r="A73" s="809"/>
      <c r="B73" s="361"/>
      <c r="C73" s="364"/>
      <c r="D73" s="363"/>
      <c r="E73" s="364"/>
      <c r="F73" s="363"/>
      <c r="G73" s="363"/>
      <c r="H73" s="349"/>
      <c r="I73" s="137"/>
      <c r="J73" s="370"/>
    </row>
    <row r="74" spans="1:10" ht="87" customHeight="1">
      <c r="A74" s="809"/>
      <c r="B74" s="361"/>
      <c r="C74" s="364"/>
      <c r="D74" s="363"/>
      <c r="E74" s="364"/>
      <c r="F74" s="363"/>
      <c r="G74" s="363"/>
      <c r="H74" s="349"/>
      <c r="I74" s="137"/>
      <c r="J74" s="369"/>
    </row>
    <row r="75" spans="1:10" ht="87" customHeight="1">
      <c r="A75" s="808"/>
      <c r="B75" s="361"/>
      <c r="C75" s="810"/>
      <c r="D75" s="363"/>
      <c r="E75" s="364"/>
      <c r="F75" s="363"/>
      <c r="G75" s="363"/>
      <c r="H75" s="349"/>
      <c r="I75" s="137"/>
      <c r="J75" s="371"/>
    </row>
    <row r="76" spans="1:10" ht="87" customHeight="1">
      <c r="A76" s="809"/>
      <c r="B76" s="361"/>
      <c r="C76" s="809"/>
      <c r="D76" s="363"/>
      <c r="E76" s="364"/>
      <c r="F76" s="363"/>
      <c r="G76" s="363"/>
      <c r="H76" s="349"/>
      <c r="I76" s="137"/>
      <c r="J76" s="372"/>
    </row>
    <row r="77" spans="1:10" ht="87" customHeight="1">
      <c r="A77" s="809"/>
      <c r="B77" s="361"/>
      <c r="C77" s="809"/>
      <c r="D77" s="363"/>
      <c r="E77" s="364"/>
      <c r="F77" s="363"/>
      <c r="G77" s="363"/>
      <c r="H77" s="349"/>
      <c r="I77" s="137"/>
      <c r="J77" s="372"/>
    </row>
    <row r="78" spans="1:10" ht="87" customHeight="1">
      <c r="A78" s="808"/>
      <c r="B78" s="361"/>
      <c r="C78" s="810"/>
      <c r="D78" s="363"/>
      <c r="E78" s="364"/>
      <c r="F78" s="363"/>
      <c r="G78" s="363"/>
      <c r="H78" s="349"/>
      <c r="I78" s="137"/>
      <c r="J78" s="372"/>
    </row>
    <row r="79" spans="1:10" ht="87" customHeight="1">
      <c r="A79" s="809"/>
      <c r="B79" s="361"/>
      <c r="C79" s="809"/>
      <c r="D79" s="363"/>
      <c r="E79" s="364"/>
      <c r="F79" s="363"/>
      <c r="G79" s="363"/>
      <c r="H79" s="349"/>
      <c r="I79" s="137"/>
      <c r="J79" s="372"/>
    </row>
    <row r="80" spans="1:10" ht="93" customHeight="1">
      <c r="A80" s="808"/>
      <c r="B80" s="361"/>
      <c r="C80" s="364"/>
      <c r="D80" s="363"/>
      <c r="E80" s="364"/>
      <c r="F80" s="363"/>
      <c r="G80" s="363"/>
      <c r="H80" s="349"/>
      <c r="I80" s="137"/>
      <c r="J80" s="372"/>
    </row>
    <row r="81" spans="1:10" ht="87" customHeight="1">
      <c r="A81" s="809"/>
      <c r="B81" s="361"/>
      <c r="C81" s="810"/>
      <c r="D81" s="363"/>
      <c r="E81" s="364"/>
      <c r="F81" s="363"/>
      <c r="G81" s="363"/>
      <c r="H81" s="349"/>
      <c r="I81" s="137"/>
      <c r="J81" s="337"/>
    </row>
    <row r="82" spans="1:10" ht="87" customHeight="1">
      <c r="A82" s="809"/>
      <c r="B82" s="361"/>
      <c r="C82" s="809"/>
      <c r="D82" s="363"/>
      <c r="E82" s="364"/>
      <c r="F82" s="363"/>
      <c r="G82" s="363"/>
      <c r="H82" s="349"/>
      <c r="I82" s="137"/>
      <c r="J82" s="337"/>
    </row>
    <row r="83" spans="1:10" ht="87" customHeight="1">
      <c r="A83" s="808"/>
      <c r="B83" s="361"/>
      <c r="C83" s="364"/>
      <c r="D83" s="363"/>
      <c r="E83" s="364"/>
      <c r="F83" s="363"/>
      <c r="G83" s="363"/>
      <c r="H83" s="349"/>
      <c r="I83" s="137"/>
      <c r="J83" s="337"/>
    </row>
    <row r="84" spans="1:10" ht="87" customHeight="1">
      <c r="A84" s="809"/>
      <c r="B84" s="361"/>
      <c r="C84" s="364"/>
      <c r="D84" s="363"/>
      <c r="E84" s="364"/>
      <c r="F84" s="363"/>
      <c r="G84" s="363"/>
      <c r="H84" s="349"/>
      <c r="I84" s="137"/>
      <c r="J84" s="337"/>
    </row>
    <row r="85" spans="1:10" ht="87" customHeight="1">
      <c r="A85" s="809"/>
      <c r="B85" s="361"/>
      <c r="C85" s="364"/>
      <c r="D85" s="363"/>
      <c r="E85" s="364"/>
      <c r="F85" s="363"/>
      <c r="G85" s="363"/>
      <c r="H85" s="349"/>
      <c r="I85" s="137"/>
      <c r="J85" s="337"/>
    </row>
    <row r="86" spans="1:10" ht="87" customHeight="1">
      <c r="A86" s="809"/>
      <c r="B86" s="361"/>
      <c r="C86" s="364"/>
      <c r="D86" s="363"/>
      <c r="E86" s="364"/>
      <c r="F86" s="363"/>
      <c r="G86" s="363"/>
      <c r="H86" s="349"/>
      <c r="I86" s="137"/>
      <c r="J86" s="337"/>
    </row>
    <row r="87" spans="1:10" ht="87" customHeight="1">
      <c r="A87" s="808"/>
      <c r="B87" s="361"/>
      <c r="C87" s="364"/>
      <c r="D87" s="363"/>
      <c r="E87" s="364"/>
      <c r="F87" s="363"/>
      <c r="G87" s="363"/>
      <c r="H87" s="349"/>
      <c r="I87" s="137"/>
      <c r="J87" s="337"/>
    </row>
    <row r="88" spans="1:10" ht="87" customHeight="1">
      <c r="A88" s="809"/>
      <c r="B88" s="361"/>
      <c r="C88" s="364"/>
      <c r="D88" s="363"/>
      <c r="E88" s="364"/>
      <c r="F88" s="363"/>
      <c r="G88" s="363"/>
      <c r="H88" s="349"/>
      <c r="I88" s="137"/>
      <c r="J88" s="337"/>
    </row>
    <row r="89" spans="1:10" ht="106.5" customHeight="1">
      <c r="A89" s="365"/>
      <c r="B89" s="361"/>
      <c r="C89" s="364"/>
      <c r="D89" s="363"/>
      <c r="E89" s="364"/>
      <c r="F89" s="363"/>
      <c r="G89" s="363"/>
      <c r="H89" s="349"/>
      <c r="I89" s="137"/>
    </row>
    <row r="90" spans="1:10" ht="87" customHeight="1">
      <c r="A90" s="365"/>
      <c r="B90" s="361"/>
      <c r="C90" s="364"/>
      <c r="D90" s="363"/>
      <c r="E90" s="364"/>
      <c r="F90" s="363"/>
      <c r="G90" s="363"/>
      <c r="H90" s="349"/>
      <c r="I90" s="137"/>
      <c r="J90" s="373"/>
    </row>
    <row r="91" spans="1:10" ht="87" customHeight="1">
      <c r="A91" s="365"/>
      <c r="B91" s="361"/>
      <c r="C91" s="364"/>
      <c r="D91" s="363"/>
      <c r="E91" s="364"/>
      <c r="F91" s="363"/>
      <c r="G91" s="363"/>
      <c r="H91" s="349"/>
      <c r="I91" s="137"/>
      <c r="J91" s="374"/>
    </row>
    <row r="92" spans="1:10" ht="87" customHeight="1">
      <c r="A92" s="808"/>
      <c r="B92" s="361"/>
      <c r="C92" s="364"/>
      <c r="D92" s="363"/>
      <c r="E92" s="364"/>
      <c r="F92" s="363"/>
      <c r="G92" s="363"/>
      <c r="H92" s="349"/>
      <c r="I92" s="137"/>
      <c r="J92" s="374"/>
    </row>
    <row r="93" spans="1:10" ht="87" customHeight="1">
      <c r="A93" s="809"/>
      <c r="B93" s="361"/>
      <c r="C93" s="364"/>
      <c r="D93" s="363"/>
      <c r="E93" s="364"/>
      <c r="F93" s="363"/>
      <c r="G93" s="363"/>
      <c r="H93" s="349"/>
      <c r="I93" s="137"/>
      <c r="J93" s="374"/>
    </row>
    <row r="94" spans="1:10" ht="87" customHeight="1">
      <c r="A94" s="809"/>
      <c r="B94" s="361"/>
      <c r="C94" s="364"/>
      <c r="D94" s="363"/>
      <c r="E94" s="364"/>
      <c r="F94" s="363"/>
      <c r="G94" s="363"/>
      <c r="H94" s="349"/>
      <c r="I94" s="137"/>
      <c r="J94" s="374"/>
    </row>
    <row r="95" spans="1:10" ht="87" customHeight="1">
      <c r="A95" s="365"/>
      <c r="B95" s="361"/>
      <c r="C95" s="364"/>
      <c r="D95" s="363"/>
      <c r="E95" s="364"/>
      <c r="F95" s="363"/>
      <c r="G95" s="363"/>
      <c r="H95" s="349"/>
      <c r="I95" s="137"/>
      <c r="J95" s="375"/>
    </row>
    <row r="96" spans="1:10" ht="87" customHeight="1">
      <c r="A96" s="365"/>
      <c r="B96" s="361"/>
      <c r="C96" s="364"/>
      <c r="D96" s="363"/>
      <c r="E96" s="364"/>
      <c r="F96" s="363"/>
      <c r="G96" s="363"/>
      <c r="H96" s="349"/>
      <c r="I96" s="137"/>
      <c r="J96" s="376"/>
    </row>
    <row r="97" spans="1:10" ht="87" customHeight="1">
      <c r="A97" s="808"/>
      <c r="B97" s="361"/>
      <c r="C97" s="364"/>
      <c r="D97" s="363"/>
      <c r="E97" s="364"/>
      <c r="F97" s="363"/>
      <c r="G97" s="377"/>
      <c r="H97" s="349"/>
      <c r="I97" s="137"/>
      <c r="J97" s="337"/>
    </row>
    <row r="98" spans="1:10" ht="87" customHeight="1">
      <c r="A98" s="809"/>
      <c r="B98" s="361"/>
      <c r="C98" s="364"/>
      <c r="D98" s="363"/>
      <c r="E98" s="364"/>
      <c r="F98" s="363"/>
      <c r="G98" s="377"/>
      <c r="H98" s="349"/>
      <c r="I98" s="137"/>
      <c r="J98" s="337"/>
    </row>
    <row r="99" spans="1:10" ht="87" customHeight="1">
      <c r="A99" s="365"/>
      <c r="B99" s="361"/>
      <c r="C99" s="364"/>
      <c r="D99" s="363"/>
      <c r="E99" s="364"/>
      <c r="F99" s="363"/>
      <c r="G99" s="377"/>
      <c r="H99" s="378"/>
      <c r="I99" s="137"/>
    </row>
    <row r="100" spans="1:10" ht="87" customHeight="1">
      <c r="A100" s="365"/>
      <c r="B100" s="361"/>
      <c r="C100" s="364"/>
      <c r="D100" s="363"/>
      <c r="E100" s="364"/>
      <c r="F100" s="363"/>
      <c r="G100" s="377"/>
      <c r="H100" s="360"/>
      <c r="I100" s="379"/>
      <c r="J100" s="380"/>
    </row>
    <row r="101" spans="1:10" ht="87" customHeight="1">
      <c r="A101" s="365"/>
      <c r="B101" s="361"/>
      <c r="C101" s="364"/>
      <c r="D101" s="363"/>
      <c r="E101" s="364"/>
      <c r="F101" s="363"/>
      <c r="G101" s="377"/>
      <c r="H101" s="381"/>
      <c r="I101" s="137"/>
      <c r="J101" s="143"/>
    </row>
    <row r="102" spans="1:10" ht="127.5" customHeight="1">
      <c r="A102" s="811"/>
      <c r="B102" s="807"/>
      <c r="C102" s="807"/>
      <c r="D102" s="807"/>
      <c r="E102" s="807"/>
      <c r="F102" s="807"/>
      <c r="G102" s="807"/>
      <c r="H102" s="812"/>
      <c r="I102" s="137"/>
      <c r="J102" s="137"/>
    </row>
    <row r="103" spans="1:10" ht="14.25"/>
  </sheetData>
  <mergeCells count="34">
    <mergeCell ref="A97:A98"/>
    <mergeCell ref="A102:H102"/>
    <mergeCell ref="A80:A82"/>
    <mergeCell ref="C81:C82"/>
    <mergeCell ref="A83:A86"/>
    <mergeCell ref="A87:A88"/>
    <mergeCell ref="A92:A94"/>
    <mergeCell ref="A69:A74"/>
    <mergeCell ref="A75:A77"/>
    <mergeCell ref="C75:C77"/>
    <mergeCell ref="A78:A79"/>
    <mergeCell ref="C78:C79"/>
    <mergeCell ref="A61:A62"/>
    <mergeCell ref="C61:C62"/>
    <mergeCell ref="A63:A65"/>
    <mergeCell ref="A66:A68"/>
    <mergeCell ref="C66:C67"/>
    <mergeCell ref="A33:A41"/>
    <mergeCell ref="A42:A49"/>
    <mergeCell ref="C42:C49"/>
    <mergeCell ref="A51:A55"/>
    <mergeCell ref="A56:A59"/>
    <mergeCell ref="C56:C59"/>
    <mergeCell ref="A21:A22"/>
    <mergeCell ref="C21:C22"/>
    <mergeCell ref="A23:A27"/>
    <mergeCell ref="C23:C27"/>
    <mergeCell ref="A28:A32"/>
    <mergeCell ref="A1:H1"/>
    <mergeCell ref="A2:B2"/>
    <mergeCell ref="A4:A12"/>
    <mergeCell ref="A13:A17"/>
    <mergeCell ref="A18:A20"/>
    <mergeCell ref="C18:C20"/>
  </mergeCells>
  <phoneticPr fontId="15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创新目标（黄勇）"/>
  <dimension ref="A1:AW193"/>
  <sheetViews>
    <sheetView workbookViewId="0">
      <pane xSplit="6" ySplit="2" topLeftCell="G3" activePane="bottomRight" state="frozen"/>
      <selection pane="topRight"/>
      <selection pane="bottomLeft"/>
      <selection pane="bottomRight" activeCell="G3" sqref="G3"/>
    </sheetView>
  </sheetViews>
  <sheetFormatPr defaultRowHeight="14.25"/>
  <cols>
    <col min="1" max="1" width="5.25" style="773" customWidth="1"/>
    <col min="2" max="2" width="17.25" customWidth="1"/>
    <col min="3" max="3" width="17.625" customWidth="1"/>
    <col min="4" max="4" width="26.875" customWidth="1"/>
    <col min="5" max="5" width="34.25" customWidth="1"/>
    <col min="6" max="6" width="10.625" hidden="1" customWidth="1"/>
    <col min="7" max="7" width="17.375" customWidth="1"/>
    <col min="8" max="8" width="11.375" customWidth="1"/>
    <col min="9" max="9" width="26.25" customWidth="1"/>
    <col min="10" max="10" width="26.625" customWidth="1"/>
    <col min="11" max="11" width="14" customWidth="1"/>
    <col min="12" max="12" width="30.125" style="337" customWidth="1"/>
    <col min="13" max="13" width="22.75" customWidth="1"/>
    <col min="14" max="14" width="7.5" customWidth="1"/>
    <col min="15" max="15" width="22.125" customWidth="1"/>
    <col min="16" max="16" width="33.125" style="137" customWidth="1"/>
    <col min="17" max="17" width="8.625" style="383" customWidth="1"/>
    <col min="18" max="18" width="18.75" customWidth="1"/>
    <col min="19" max="19" width="28.125" customWidth="1"/>
    <col min="20" max="20" width="29.375" customWidth="1"/>
    <col min="21" max="21" width="7.625" customWidth="1"/>
    <col min="22" max="23" width="16.375" customWidth="1"/>
    <col min="24" max="24" width="13.125" customWidth="1"/>
    <col min="25" max="25" width="15" customWidth="1"/>
    <col min="26" max="26" width="18.875" customWidth="1"/>
    <col min="27" max="27" width="10.625" customWidth="1"/>
    <col min="28" max="28" width="12.625" customWidth="1"/>
    <col min="29" max="29" width="19.125" customWidth="1"/>
    <col min="30" max="30" width="7.625" customWidth="1"/>
    <col min="31" max="31" width="28.25" customWidth="1"/>
    <col min="32" max="32" width="26.5" customWidth="1"/>
    <col min="33" max="33" width="7.625" customWidth="1"/>
    <col min="34" max="34" width="11.875" customWidth="1"/>
    <col min="35" max="35" width="23.375" customWidth="1"/>
    <col min="36" max="36" width="29.75" customWidth="1"/>
    <col min="37" max="37" width="7.625" customWidth="1"/>
    <col min="38" max="38" width="22.375" customWidth="1"/>
    <col min="39" max="39" width="20.125" customWidth="1"/>
    <col min="40" max="40" width="7.625" customWidth="1"/>
    <col min="41" max="41" width="16.5" customWidth="1"/>
    <col min="42" max="42" width="33.875" customWidth="1"/>
    <col min="43" max="43" width="8.75" customWidth="1"/>
    <col min="44" max="44" width="33.625" customWidth="1"/>
    <col min="45" max="45" width="22.75" customWidth="1"/>
    <col min="46" max="46" width="8.75" customWidth="1"/>
    <col min="47" max="47" width="21.625" customWidth="1"/>
    <col min="48" max="49" width="8.75" customWidth="1"/>
  </cols>
  <sheetData>
    <row r="1" spans="1:49">
      <c r="A1" s="826" t="s">
        <v>743</v>
      </c>
      <c r="B1" s="827"/>
      <c r="C1" s="828"/>
      <c r="D1" s="829"/>
      <c r="E1" s="817" t="s">
        <v>4</v>
      </c>
      <c r="F1" s="815" t="s">
        <v>744</v>
      </c>
      <c r="G1" s="824" t="s">
        <v>744</v>
      </c>
      <c r="H1" s="819" t="s">
        <v>745</v>
      </c>
      <c r="I1" s="813">
        <v>45658</v>
      </c>
      <c r="J1" s="807"/>
      <c r="K1" s="807"/>
      <c r="L1" s="814">
        <v>45689</v>
      </c>
      <c r="M1" s="807"/>
      <c r="N1" s="807"/>
      <c r="O1" s="821">
        <v>46082</v>
      </c>
      <c r="P1" s="807"/>
      <c r="Q1" s="822"/>
      <c r="R1" s="823"/>
      <c r="S1" s="813">
        <v>45748</v>
      </c>
      <c r="T1" s="807"/>
      <c r="U1" s="807"/>
      <c r="V1" s="384"/>
      <c r="W1" s="813">
        <v>45778</v>
      </c>
      <c r="X1" s="807"/>
      <c r="Y1" s="807"/>
      <c r="Z1" s="384"/>
      <c r="AA1" s="384"/>
      <c r="AB1" s="813">
        <v>45809</v>
      </c>
      <c r="AC1" s="807"/>
      <c r="AD1" s="807"/>
      <c r="AE1" s="813">
        <v>45839</v>
      </c>
      <c r="AF1" s="807"/>
      <c r="AG1" s="807"/>
      <c r="AH1" s="384" t="s">
        <v>745</v>
      </c>
      <c r="AI1" s="813">
        <v>45870</v>
      </c>
      <c r="AJ1" s="807"/>
      <c r="AK1" s="807"/>
      <c r="AL1" s="813">
        <v>45901</v>
      </c>
      <c r="AM1" s="807"/>
      <c r="AN1" s="807"/>
      <c r="AO1" s="813">
        <v>45931</v>
      </c>
      <c r="AP1" s="807"/>
      <c r="AQ1" s="807"/>
      <c r="AR1" s="813">
        <v>45962</v>
      </c>
      <c r="AS1" s="807"/>
      <c r="AT1" s="807"/>
      <c r="AU1" s="813">
        <v>45992</v>
      </c>
      <c r="AV1" s="807"/>
      <c r="AW1" s="807"/>
    </row>
    <row r="2" spans="1:49" ht="93" customHeight="1">
      <c r="A2" s="6" t="s">
        <v>0</v>
      </c>
      <c r="B2" s="8" t="s">
        <v>1577</v>
      </c>
      <c r="C2" s="385" t="s">
        <v>2</v>
      </c>
      <c r="D2" s="385" t="s">
        <v>3</v>
      </c>
      <c r="E2" s="818"/>
      <c r="F2" s="816"/>
      <c r="G2" s="825"/>
      <c r="H2" s="820"/>
      <c r="I2" s="13" t="s">
        <v>746</v>
      </c>
      <c r="J2" s="13" t="s">
        <v>747</v>
      </c>
      <c r="K2" s="13" t="s">
        <v>748</v>
      </c>
      <c r="L2" s="14" t="s">
        <v>746</v>
      </c>
      <c r="M2" s="13" t="s">
        <v>747</v>
      </c>
      <c r="N2" s="13" t="s">
        <v>748</v>
      </c>
      <c r="O2" s="386" t="s">
        <v>746</v>
      </c>
      <c r="P2" s="387" t="s">
        <v>747</v>
      </c>
      <c r="Q2" s="388" t="s">
        <v>748</v>
      </c>
      <c r="R2" s="389" t="s">
        <v>749</v>
      </c>
      <c r="S2" s="13" t="s">
        <v>746</v>
      </c>
      <c r="T2" s="13" t="s">
        <v>747</v>
      </c>
      <c r="U2" s="13" t="s">
        <v>748</v>
      </c>
      <c r="V2" s="13" t="s">
        <v>749</v>
      </c>
      <c r="W2" s="13" t="s">
        <v>746</v>
      </c>
      <c r="X2" s="13" t="s">
        <v>747</v>
      </c>
      <c r="Y2" s="13" t="s">
        <v>750</v>
      </c>
      <c r="Z2" s="13" t="s">
        <v>749</v>
      </c>
      <c r="AA2" s="13" t="s">
        <v>751</v>
      </c>
      <c r="AB2" s="13" t="s">
        <v>746</v>
      </c>
      <c r="AC2" s="13" t="s">
        <v>747</v>
      </c>
      <c r="AD2" s="13" t="s">
        <v>748</v>
      </c>
      <c r="AE2" s="13" t="s">
        <v>746</v>
      </c>
      <c r="AF2" s="13" t="s">
        <v>747</v>
      </c>
      <c r="AG2" s="13" t="s">
        <v>748</v>
      </c>
      <c r="AH2" s="13"/>
      <c r="AI2" s="13" t="s">
        <v>746</v>
      </c>
      <c r="AJ2" s="13" t="s">
        <v>747</v>
      </c>
      <c r="AK2" s="13" t="s">
        <v>748</v>
      </c>
      <c r="AL2" s="13" t="s">
        <v>746</v>
      </c>
      <c r="AM2" s="13" t="s">
        <v>747</v>
      </c>
      <c r="AN2" s="13" t="s">
        <v>748</v>
      </c>
      <c r="AO2" s="13" t="s">
        <v>746</v>
      </c>
      <c r="AP2" s="13" t="s">
        <v>747</v>
      </c>
      <c r="AQ2" s="13" t="s">
        <v>748</v>
      </c>
      <c r="AR2" s="13" t="s">
        <v>746</v>
      </c>
      <c r="AS2" s="13" t="s">
        <v>747</v>
      </c>
      <c r="AT2" s="13" t="s">
        <v>748</v>
      </c>
      <c r="AU2" s="13" t="s">
        <v>746</v>
      </c>
      <c r="AV2" s="13" t="s">
        <v>747</v>
      </c>
      <c r="AW2" s="13" t="s">
        <v>748</v>
      </c>
    </row>
    <row r="3" spans="1:49" ht="20.25">
      <c r="A3" s="830" t="s">
        <v>752</v>
      </c>
      <c r="B3" s="831"/>
      <c r="C3" s="831"/>
      <c r="D3" s="831"/>
      <c r="E3" s="832"/>
      <c r="F3" s="390" t="s">
        <v>32</v>
      </c>
      <c r="G3" s="391" t="s">
        <v>32</v>
      </c>
      <c r="H3" s="392"/>
      <c r="I3" s="393"/>
      <c r="J3" s="393"/>
      <c r="K3" s="393"/>
      <c r="L3" s="393"/>
      <c r="M3" s="393"/>
      <c r="N3" s="394"/>
      <c r="O3" s="393"/>
      <c r="P3" s="395"/>
      <c r="Q3" s="396"/>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3"/>
      <c r="AV3" s="393"/>
      <c r="AW3" s="393"/>
    </row>
    <row r="4" spans="1:49" s="379" customFormat="1" ht="15.75" customHeight="1">
      <c r="A4" s="397">
        <v>1.1000000000000001</v>
      </c>
      <c r="B4" s="398"/>
      <c r="C4" s="398"/>
      <c r="D4" s="398"/>
      <c r="E4" s="399"/>
      <c r="F4" s="56"/>
      <c r="G4" s="42"/>
      <c r="H4" s="42"/>
      <c r="I4" s="44"/>
      <c r="J4" s="44"/>
      <c r="K4" s="44"/>
      <c r="L4" s="43"/>
      <c r="M4" s="42"/>
      <c r="N4" s="42"/>
      <c r="O4" s="42"/>
      <c r="P4" s="43"/>
      <c r="Q4" s="42"/>
      <c r="R4" s="42"/>
      <c r="S4" s="43"/>
      <c r="T4" s="42"/>
      <c r="U4" s="42"/>
      <c r="V4" s="44"/>
      <c r="W4" s="43"/>
      <c r="X4" s="43"/>
      <c r="Y4" s="42"/>
      <c r="Z4" s="44"/>
      <c r="AA4" s="44"/>
      <c r="AB4" s="43"/>
      <c r="AC4" s="43"/>
      <c r="AD4" s="42"/>
      <c r="AE4" s="43"/>
      <c r="AF4" s="43"/>
      <c r="AG4" s="42"/>
      <c r="AH4" s="43"/>
      <c r="AI4" s="43"/>
      <c r="AJ4" s="42"/>
      <c r="AK4" s="42"/>
      <c r="AL4" s="43"/>
      <c r="AM4" s="44"/>
      <c r="AN4" s="42"/>
      <c r="AO4" s="42"/>
      <c r="AP4" s="42"/>
      <c r="AQ4" s="42"/>
      <c r="AR4" s="42"/>
      <c r="AS4" s="43"/>
      <c r="AT4" s="42"/>
      <c r="AU4" s="42"/>
      <c r="AV4" s="44"/>
      <c r="AW4" s="44"/>
    </row>
    <row r="5" spans="1:49" s="137" customFormat="1" ht="15.75" customHeight="1">
      <c r="A5" s="397">
        <v>1.2</v>
      </c>
      <c r="C5" s="42"/>
      <c r="D5" s="398"/>
      <c r="E5" s="398"/>
      <c r="F5" s="43"/>
      <c r="G5" s="42"/>
      <c r="H5" s="42"/>
      <c r="I5" s="42"/>
      <c r="J5" s="42"/>
      <c r="K5" s="42"/>
      <c r="L5" s="43"/>
      <c r="M5" s="43"/>
      <c r="N5" s="42"/>
      <c r="O5" s="43"/>
      <c r="P5" s="43"/>
      <c r="Q5" s="42"/>
      <c r="R5" s="42"/>
      <c r="S5" s="43"/>
      <c r="T5" s="43"/>
      <c r="U5" s="42"/>
      <c r="V5" s="43"/>
      <c r="W5" s="43"/>
      <c r="X5" s="43"/>
      <c r="Y5" s="42"/>
      <c r="Z5" s="43"/>
      <c r="AA5" s="43"/>
      <c r="AB5" s="43"/>
      <c r="AC5" s="43"/>
      <c r="AD5" s="42"/>
      <c r="AE5" s="43"/>
      <c r="AF5" s="43"/>
      <c r="AG5" s="42"/>
      <c r="AH5" s="43"/>
      <c r="AI5" s="43"/>
      <c r="AJ5" s="43"/>
      <c r="AK5" s="42"/>
      <c r="AL5" s="42"/>
      <c r="AM5" s="43"/>
      <c r="AN5" s="42"/>
      <c r="AO5" s="43"/>
      <c r="AP5" s="43"/>
      <c r="AQ5" s="42"/>
      <c r="AR5" s="43"/>
      <c r="AS5" s="43"/>
      <c r="AT5" s="44"/>
      <c r="AU5" s="42"/>
      <c r="AV5" s="44"/>
      <c r="AW5" s="44"/>
    </row>
    <row r="6" spans="1:49" ht="15.75" customHeight="1">
      <c r="A6" s="400">
        <v>1.3</v>
      </c>
      <c r="B6" s="401"/>
      <c r="C6" s="401"/>
      <c r="D6" s="398"/>
      <c r="E6" s="399"/>
      <c r="F6" s="56"/>
      <c r="G6" s="42"/>
      <c r="H6" s="42"/>
      <c r="I6" s="42"/>
      <c r="J6" s="42"/>
      <c r="K6" s="42"/>
      <c r="L6" s="43"/>
      <c r="M6" s="42"/>
      <c r="N6" s="42"/>
      <c r="O6" s="43"/>
      <c r="P6" s="43"/>
      <c r="Q6" s="42"/>
      <c r="R6" s="42"/>
      <c r="S6" s="43"/>
      <c r="T6" s="43"/>
      <c r="U6" s="42"/>
      <c r="V6" s="43"/>
      <c r="W6" s="43"/>
      <c r="X6" s="42"/>
      <c r="Y6" s="42"/>
      <c r="Z6" s="42"/>
      <c r="AA6" s="42"/>
      <c r="AB6" s="43"/>
      <c r="AC6" s="43"/>
      <c r="AD6" s="42"/>
      <c r="AE6" s="43"/>
      <c r="AF6" s="43"/>
      <c r="AG6" s="42"/>
      <c r="AH6" s="43"/>
      <c r="AI6" s="43"/>
      <c r="AJ6" s="42"/>
      <c r="AK6" s="42"/>
      <c r="AL6" s="42"/>
      <c r="AM6" s="42"/>
      <c r="AN6" s="42"/>
      <c r="AO6" s="42"/>
      <c r="AP6" s="42"/>
      <c r="AQ6" s="42"/>
      <c r="AR6" s="42"/>
      <c r="AS6" s="42"/>
      <c r="AT6" s="42"/>
      <c r="AU6" s="42"/>
      <c r="AV6" s="42"/>
      <c r="AW6" s="42"/>
    </row>
    <row r="7" spans="1:49" ht="15.75" customHeight="1">
      <c r="A7" s="400">
        <v>1.4</v>
      </c>
      <c r="B7" s="401"/>
      <c r="C7" s="401"/>
      <c r="D7" s="56"/>
      <c r="E7" s="398"/>
      <c r="F7" s="56"/>
      <c r="G7" s="42"/>
      <c r="H7" s="42"/>
      <c r="I7" s="42"/>
      <c r="J7" s="42"/>
      <c r="K7" s="42"/>
      <c r="L7" s="43"/>
      <c r="M7" s="42"/>
      <c r="N7" s="42"/>
      <c r="O7" s="43"/>
      <c r="P7" s="42"/>
      <c r="Q7" s="42"/>
      <c r="R7" s="42"/>
      <c r="S7" s="42"/>
      <c r="T7" s="43"/>
      <c r="U7" s="42"/>
      <c r="V7" s="43"/>
      <c r="W7" s="43"/>
      <c r="X7" s="43"/>
      <c r="Y7" s="42"/>
      <c r="Z7" s="42"/>
      <c r="AA7" s="42"/>
      <c r="AB7" s="43"/>
      <c r="AC7" s="43"/>
      <c r="AD7" s="42"/>
      <c r="AE7" s="43"/>
      <c r="AF7" s="43"/>
      <c r="AG7" s="42"/>
      <c r="AH7" s="43"/>
      <c r="AI7" s="43"/>
      <c r="AJ7" s="43"/>
      <c r="AK7" s="44"/>
      <c r="AL7" s="43"/>
      <c r="AM7" s="43"/>
      <c r="AN7" s="42"/>
      <c r="AO7" s="43"/>
      <c r="AP7" s="43"/>
      <c r="AQ7" s="42"/>
      <c r="AR7" s="43"/>
      <c r="AS7" s="43"/>
      <c r="AT7" s="42"/>
      <c r="AU7" s="43"/>
      <c r="AV7" s="42"/>
      <c r="AW7" s="42"/>
    </row>
    <row r="8" spans="1:49" ht="15.75" customHeight="1">
      <c r="A8" s="400">
        <v>1.5</v>
      </c>
      <c r="B8" s="402"/>
      <c r="C8" s="402"/>
      <c r="D8" s="398"/>
      <c r="E8" s="43"/>
      <c r="F8" s="56"/>
      <c r="G8" s="42"/>
      <c r="H8" s="42"/>
      <c r="I8" s="42"/>
      <c r="J8" s="42"/>
      <c r="K8" s="42"/>
      <c r="L8" s="43"/>
      <c r="M8" s="42"/>
      <c r="N8" s="42"/>
      <c r="O8" s="43"/>
      <c r="P8" s="43"/>
      <c r="Q8" s="42"/>
      <c r="R8" s="42"/>
      <c r="S8" s="43"/>
      <c r="T8" s="63"/>
      <c r="U8" s="42"/>
      <c r="V8" s="42"/>
      <c r="W8" s="42"/>
      <c r="X8" s="42"/>
      <c r="Y8" s="42"/>
      <c r="Z8" s="42"/>
      <c r="AA8" s="42"/>
      <c r="AB8" s="43"/>
      <c r="AC8" s="63"/>
      <c r="AD8" s="42"/>
      <c r="AE8" s="43"/>
      <c r="AF8" s="43"/>
      <c r="AG8" s="42"/>
      <c r="AH8" s="42"/>
      <c r="AI8" s="43"/>
      <c r="AJ8" s="42"/>
      <c r="AK8" s="42"/>
      <c r="AL8" s="42"/>
      <c r="AM8" s="42"/>
      <c r="AN8" s="42"/>
      <c r="AO8" s="42"/>
      <c r="AP8" s="42"/>
      <c r="AQ8" s="42"/>
      <c r="AR8" s="42"/>
      <c r="AS8" s="42"/>
      <c r="AT8" s="42"/>
      <c r="AU8" s="42"/>
      <c r="AV8" s="42"/>
      <c r="AW8" s="42"/>
    </row>
    <row r="9" spans="1:49" ht="15.75" customHeight="1">
      <c r="A9" s="400">
        <v>1.6</v>
      </c>
      <c r="B9" s="401"/>
      <c r="C9" s="401"/>
      <c r="D9" s="398"/>
      <c r="E9" s="403"/>
      <c r="F9" s="56"/>
      <c r="G9" s="42"/>
      <c r="H9" s="42"/>
      <c r="I9" s="42"/>
      <c r="J9" s="42"/>
      <c r="K9" s="42"/>
      <c r="L9" s="43"/>
      <c r="M9" s="42"/>
      <c r="N9" s="42"/>
      <c r="O9" s="43"/>
      <c r="P9" s="43"/>
      <c r="Q9" s="42"/>
      <c r="R9" s="42"/>
      <c r="S9" s="43"/>
      <c r="T9" s="43"/>
      <c r="U9" s="42"/>
      <c r="V9" s="43"/>
      <c r="W9" s="43"/>
      <c r="X9" s="63"/>
      <c r="Y9" s="42"/>
      <c r="Z9" s="42"/>
      <c r="AA9" s="42"/>
      <c r="AB9" s="43"/>
      <c r="AC9" s="43"/>
      <c r="AD9" s="42"/>
      <c r="AE9" s="43"/>
      <c r="AF9" s="43"/>
      <c r="AG9" s="42"/>
      <c r="AH9" s="43"/>
      <c r="AI9" s="43"/>
      <c r="AJ9" s="43"/>
      <c r="AK9" s="43"/>
      <c r="AL9" s="42"/>
      <c r="AM9" s="43"/>
      <c r="AN9" s="42"/>
      <c r="AO9" s="43"/>
      <c r="AP9" s="42"/>
      <c r="AQ9" s="42"/>
      <c r="AR9" s="42"/>
      <c r="AS9" s="43"/>
      <c r="AT9" s="42"/>
      <c r="AU9" s="43"/>
      <c r="AV9" s="42"/>
      <c r="AW9" s="42"/>
    </row>
    <row r="10" spans="1:49" ht="20.25">
      <c r="A10" s="833" t="s">
        <v>753</v>
      </c>
      <c r="B10" s="834"/>
      <c r="C10" s="834"/>
      <c r="D10" s="834"/>
      <c r="E10" s="835"/>
      <c r="F10" s="56" t="s">
        <v>318</v>
      </c>
      <c r="G10" s="404" t="s">
        <v>318</v>
      </c>
      <c r="H10" s="137"/>
      <c r="I10" s="137"/>
      <c r="J10" s="137"/>
      <c r="K10" s="137"/>
      <c r="L10" s="156"/>
      <c r="M10" s="137"/>
      <c r="N10" s="137"/>
      <c r="O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row>
    <row r="11" spans="1:49" s="137" customFormat="1" ht="56.25" customHeight="1">
      <c r="A11" s="405">
        <v>2.1</v>
      </c>
      <c r="B11" s="406"/>
      <c r="C11" s="407" t="s">
        <v>754</v>
      </c>
      <c r="D11" s="408" t="s">
        <v>755</v>
      </c>
      <c r="E11" s="409" t="s">
        <v>756</v>
      </c>
      <c r="F11" s="410"/>
      <c r="G11" s="59" t="s">
        <v>757</v>
      </c>
      <c r="H11" s="59"/>
      <c r="I11" s="59" t="s">
        <v>758</v>
      </c>
      <c r="J11" s="59" t="s">
        <v>758</v>
      </c>
      <c r="K11" s="59"/>
      <c r="L11" s="58" t="s">
        <v>758</v>
      </c>
      <c r="M11" s="58" t="s">
        <v>758</v>
      </c>
      <c r="N11" s="59"/>
      <c r="O11" s="411" t="s">
        <v>759</v>
      </c>
      <c r="P11" s="59"/>
      <c r="Q11" s="412"/>
      <c r="R11" s="412"/>
      <c r="S11" s="59"/>
      <c r="T11" s="59"/>
      <c r="U11" s="59"/>
      <c r="V11" s="59"/>
      <c r="W11" s="58"/>
      <c r="X11" s="58"/>
      <c r="Y11" s="59"/>
      <c r="Z11" s="59"/>
      <c r="AA11" s="59"/>
      <c r="AB11" s="59"/>
      <c r="AC11" s="58"/>
      <c r="AD11" s="59"/>
      <c r="AE11" s="44"/>
      <c r="AF11" s="44"/>
      <c r="AG11" s="44"/>
      <c r="AH11" s="44"/>
      <c r="AI11" s="44"/>
      <c r="AJ11" s="44"/>
      <c r="AK11" s="44"/>
      <c r="AL11" s="44"/>
      <c r="AM11" s="44"/>
      <c r="AN11" s="44"/>
      <c r="AO11" s="44"/>
      <c r="AP11" s="44"/>
      <c r="AQ11" s="44"/>
      <c r="AR11" s="44"/>
      <c r="AS11" s="44"/>
      <c r="AT11" s="44"/>
      <c r="AU11" s="44"/>
      <c r="AV11" s="44"/>
      <c r="AW11" s="44"/>
    </row>
    <row r="12" spans="1:49" s="756" customFormat="1" ht="44.25" customHeight="1">
      <c r="A12" s="413">
        <v>2.2000000000000002</v>
      </c>
      <c r="B12" s="414"/>
      <c r="C12" s="415" t="s">
        <v>760</v>
      </c>
      <c r="D12" s="415" t="s">
        <v>761</v>
      </c>
      <c r="E12" s="415" t="s">
        <v>762</v>
      </c>
      <c r="F12" s="415"/>
      <c r="G12" s="416" t="s">
        <v>185</v>
      </c>
      <c r="H12" s="39"/>
      <c r="I12" s="39"/>
      <c r="J12" s="39"/>
      <c r="K12" s="39"/>
      <c r="L12" s="39" t="s">
        <v>763</v>
      </c>
      <c r="M12" s="39" t="s">
        <v>763</v>
      </c>
      <c r="N12" s="39"/>
      <c r="O12" s="417" t="s">
        <v>763</v>
      </c>
      <c r="P12" s="39"/>
      <c r="Q12" s="107"/>
      <c r="R12" s="107"/>
      <c r="S12" s="39"/>
      <c r="T12" s="39"/>
      <c r="U12" s="39"/>
      <c r="V12" s="113"/>
      <c r="W12" s="39"/>
      <c r="X12" s="39"/>
      <c r="Y12" s="39"/>
      <c r="Z12" s="83"/>
      <c r="AA12" s="83"/>
      <c r="AB12" s="39"/>
      <c r="AC12" s="39"/>
      <c r="AD12" s="39"/>
      <c r="AE12" s="39"/>
      <c r="AF12" s="38"/>
      <c r="AG12" s="39"/>
      <c r="AH12" s="106"/>
      <c r="AI12" s="39"/>
      <c r="AJ12" s="39"/>
      <c r="AK12" s="39"/>
      <c r="AL12" s="39"/>
      <c r="AM12" s="83"/>
      <c r="AN12" s="83"/>
      <c r="AO12" s="83"/>
      <c r="AP12" s="83"/>
      <c r="AQ12" s="83"/>
      <c r="AR12" s="83"/>
      <c r="AS12" s="83"/>
      <c r="AT12" s="83"/>
      <c r="AU12" s="83"/>
      <c r="AV12" s="83"/>
      <c r="AW12" s="83"/>
    </row>
    <row r="13" spans="1:49" s="137" customFormat="1" ht="57">
      <c r="A13" s="418">
        <v>2.2999999999999998</v>
      </c>
      <c r="B13" s="419"/>
      <c r="C13" s="420" t="s">
        <v>764</v>
      </c>
      <c r="D13" s="420" t="s">
        <v>765</v>
      </c>
      <c r="E13" s="420"/>
      <c r="F13" s="81"/>
      <c r="G13" s="40" t="s">
        <v>766</v>
      </c>
      <c r="H13" s="40"/>
      <c r="I13" s="105"/>
      <c r="J13" s="105"/>
      <c r="K13" s="105"/>
      <c r="L13" s="39"/>
      <c r="M13" s="105"/>
      <c r="N13" s="105"/>
      <c r="O13" s="105"/>
      <c r="P13" s="40"/>
      <c r="Q13" s="40"/>
      <c r="R13" s="105"/>
      <c r="S13" s="105"/>
      <c r="T13" s="105"/>
      <c r="U13" s="105"/>
      <c r="V13" s="105"/>
      <c r="W13" s="105"/>
      <c r="X13" s="105"/>
      <c r="Y13" s="40"/>
      <c r="Z13" s="105"/>
      <c r="AA13" s="105"/>
      <c r="AB13" s="39"/>
      <c r="AC13" s="39"/>
      <c r="AD13" s="40"/>
      <c r="AE13" s="39"/>
      <c r="AF13" s="39"/>
      <c r="AG13" s="40"/>
      <c r="AH13" s="39"/>
      <c r="AI13" s="39"/>
      <c r="AJ13" s="40"/>
      <c r="AK13" s="40"/>
      <c r="AL13" s="39"/>
      <c r="AM13" s="39"/>
      <c r="AN13" s="105"/>
      <c r="AO13" s="39"/>
      <c r="AP13" s="39"/>
      <c r="AQ13" s="40"/>
      <c r="AR13" s="40"/>
      <c r="AS13" s="105"/>
      <c r="AT13" s="105"/>
      <c r="AU13" s="105"/>
      <c r="AV13" s="105"/>
      <c r="AW13" s="105"/>
    </row>
    <row r="14" spans="1:49" ht="15.75" customHeight="1">
      <c r="A14" s="421">
        <v>2.4</v>
      </c>
      <c r="B14" s="422"/>
      <c r="C14" s="422"/>
      <c r="D14" s="130"/>
      <c r="E14" s="130"/>
      <c r="F14" s="130"/>
      <c r="G14" s="137"/>
      <c r="H14" s="137"/>
      <c r="I14" s="137"/>
      <c r="J14" s="137"/>
      <c r="K14" s="137"/>
      <c r="L14" s="156"/>
      <c r="M14" s="137"/>
      <c r="N14" s="137"/>
      <c r="O14" s="137"/>
      <c r="Q14" s="137"/>
      <c r="R14" s="137"/>
      <c r="S14" s="137"/>
      <c r="T14" s="137"/>
      <c r="U14" s="137"/>
      <c r="V14" s="137"/>
      <c r="W14" s="137"/>
      <c r="X14" s="137"/>
      <c r="Y14" s="137"/>
      <c r="Z14" s="137"/>
      <c r="AA14" s="137"/>
      <c r="AB14" s="137"/>
      <c r="AC14" s="137"/>
      <c r="AD14" s="137"/>
      <c r="AE14" s="137"/>
      <c r="AF14" s="137"/>
      <c r="AG14" s="137"/>
      <c r="AH14" s="137"/>
      <c r="AI14" s="137"/>
      <c r="AJ14" s="137"/>
      <c r="AK14" s="137"/>
      <c r="AL14" s="137"/>
      <c r="AM14" s="137"/>
      <c r="AN14" s="137"/>
      <c r="AO14" s="137"/>
      <c r="AP14" s="137"/>
      <c r="AQ14" s="137"/>
      <c r="AR14" s="137"/>
      <c r="AS14" s="137"/>
      <c r="AT14" s="137"/>
      <c r="AU14" s="137"/>
      <c r="AV14" s="137"/>
      <c r="AW14" s="137"/>
    </row>
    <row r="15" spans="1:49" ht="15.75" customHeight="1">
      <c r="A15" s="423">
        <v>2.5</v>
      </c>
      <c r="B15" s="422"/>
      <c r="C15" s="422"/>
      <c r="D15" s="130"/>
      <c r="E15" s="130"/>
      <c r="F15" s="130"/>
      <c r="G15" s="137"/>
      <c r="H15" s="137"/>
      <c r="I15" s="137"/>
      <c r="J15" s="137"/>
      <c r="K15" s="137"/>
      <c r="L15" s="156"/>
      <c r="M15" s="137"/>
      <c r="N15" s="137"/>
      <c r="O15" s="137"/>
      <c r="Q15" s="137"/>
      <c r="R15" s="137"/>
      <c r="S15" s="137"/>
      <c r="T15" s="137"/>
      <c r="U15" s="137"/>
      <c r="V15" s="137"/>
      <c r="W15" s="137"/>
      <c r="X15" s="137"/>
      <c r="Y15" s="137"/>
      <c r="Z15" s="137"/>
      <c r="AA15" s="137"/>
      <c r="AB15" s="137"/>
      <c r="AC15" s="137"/>
      <c r="AD15" s="137"/>
      <c r="AE15" s="137"/>
      <c r="AF15" s="137"/>
      <c r="AG15" s="137"/>
      <c r="AH15" s="137"/>
      <c r="AI15" s="137"/>
      <c r="AJ15" s="137"/>
      <c r="AK15" s="137"/>
      <c r="AL15" s="137"/>
      <c r="AM15" s="137"/>
      <c r="AN15" s="137"/>
      <c r="AO15" s="137"/>
      <c r="AP15" s="137"/>
      <c r="AQ15" s="137"/>
      <c r="AR15" s="137"/>
      <c r="AS15" s="137"/>
      <c r="AT15" s="137"/>
      <c r="AU15" s="137"/>
      <c r="AV15" s="137"/>
      <c r="AW15" s="137"/>
    </row>
    <row r="16" spans="1:49" ht="39" customHeight="1">
      <c r="A16" s="833" t="s">
        <v>767</v>
      </c>
      <c r="B16" s="834"/>
      <c r="C16" s="834"/>
      <c r="D16" s="834"/>
      <c r="E16" s="835"/>
      <c r="F16" s="56" t="s">
        <v>619</v>
      </c>
      <c r="G16" s="404" t="s">
        <v>619</v>
      </c>
      <c r="H16" s="137"/>
      <c r="I16" s="137"/>
      <c r="J16" s="137"/>
      <c r="K16" s="137"/>
      <c r="L16" s="156"/>
      <c r="M16" s="137"/>
      <c r="N16" s="137"/>
      <c r="O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row>
    <row r="17" spans="1:49" s="137" customFormat="1" ht="90" customHeight="1">
      <c r="A17" s="424">
        <v>3.1</v>
      </c>
      <c r="B17" s="425"/>
      <c r="C17" s="426" t="s">
        <v>768</v>
      </c>
      <c r="D17" s="427" t="s">
        <v>769</v>
      </c>
      <c r="E17" s="403" t="s">
        <v>770</v>
      </c>
      <c r="F17" s="36"/>
      <c r="G17" s="428" t="s">
        <v>771</v>
      </c>
      <c r="H17" s="239"/>
      <c r="I17" s="429"/>
      <c r="J17" s="429"/>
      <c r="K17" s="239"/>
      <c r="L17" s="58" t="s">
        <v>772</v>
      </c>
      <c r="M17" s="58" t="s">
        <v>773</v>
      </c>
      <c r="N17" s="59"/>
      <c r="O17" s="58" t="s">
        <v>774</v>
      </c>
      <c r="P17" s="58" t="s">
        <v>775</v>
      </c>
      <c r="Q17" s="59"/>
      <c r="R17" s="58"/>
      <c r="S17" s="58" t="s">
        <v>776</v>
      </c>
      <c r="T17" s="58"/>
      <c r="U17" s="59"/>
      <c r="V17" s="58"/>
      <c r="W17" s="58"/>
      <c r="X17" s="58"/>
      <c r="Y17" s="59"/>
      <c r="Z17" s="239"/>
      <c r="AA17" s="239"/>
      <c r="AB17" s="58"/>
      <c r="AC17" s="58"/>
      <c r="AD17" s="58"/>
      <c r="AE17" s="58"/>
      <c r="AF17" s="59"/>
      <c r="AG17" s="59"/>
      <c r="AH17" s="58"/>
      <c r="AI17" s="59"/>
      <c r="AJ17" s="58"/>
      <c r="AK17" s="59"/>
      <c r="AL17" s="58"/>
      <c r="AM17" s="58"/>
      <c r="AN17" s="59"/>
      <c r="AO17" s="59"/>
      <c r="AP17" s="59"/>
      <c r="AQ17" s="239"/>
      <c r="AR17" s="58"/>
      <c r="AS17" s="58"/>
      <c r="AT17" s="239"/>
      <c r="AU17" s="239"/>
      <c r="AV17" s="239"/>
      <c r="AW17" s="239"/>
    </row>
    <row r="18" spans="1:49" s="137" customFormat="1" ht="67.5" customHeight="1">
      <c r="A18" s="397">
        <v>3.2</v>
      </c>
      <c r="B18" s="430"/>
      <c r="C18" s="431" t="s">
        <v>777</v>
      </c>
      <c r="D18" s="432" t="s">
        <v>778</v>
      </c>
      <c r="E18" s="398" t="s">
        <v>779</v>
      </c>
      <c r="F18" s="56"/>
      <c r="G18" s="42" t="s">
        <v>481</v>
      </c>
      <c r="H18" s="42"/>
      <c r="I18" s="44"/>
      <c r="J18" s="44"/>
      <c r="K18" s="44"/>
      <c r="L18" s="43"/>
      <c r="M18" s="43"/>
      <c r="N18" s="42"/>
      <c r="O18" s="43" t="s">
        <v>780</v>
      </c>
      <c r="P18" s="43" t="s">
        <v>781</v>
      </c>
      <c r="Q18" s="42"/>
      <c r="R18" s="42" t="s">
        <v>782</v>
      </c>
      <c r="S18" s="43"/>
      <c r="T18" s="43"/>
      <c r="U18" s="42"/>
      <c r="V18" s="44"/>
      <c r="W18" s="44"/>
      <c r="X18" s="44"/>
      <c r="Y18" s="42"/>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row>
    <row r="19" spans="1:49" s="137" customFormat="1">
      <c r="A19" s="400">
        <v>3.3</v>
      </c>
      <c r="B19" s="433"/>
      <c r="H19" s="42"/>
      <c r="I19" s="44"/>
      <c r="J19" s="44"/>
      <c r="K19" s="44"/>
      <c r="L19" s="43"/>
      <c r="M19" s="43"/>
      <c r="N19" s="43"/>
      <c r="O19" s="43"/>
      <c r="P19" s="43"/>
      <c r="Q19" s="42"/>
      <c r="R19" s="42"/>
      <c r="S19" s="43"/>
      <c r="T19" s="42"/>
      <c r="U19" s="42"/>
      <c r="V19" s="43"/>
      <c r="W19" s="43"/>
      <c r="X19" s="43"/>
      <c r="Y19" s="42"/>
      <c r="Z19" s="43"/>
      <c r="AA19" s="44"/>
      <c r="AB19" s="43"/>
      <c r="AC19" s="43"/>
      <c r="AD19" s="42"/>
      <c r="AE19" s="43"/>
      <c r="AF19" s="43"/>
      <c r="AG19" s="42"/>
      <c r="AH19" s="43"/>
      <c r="AI19" s="43"/>
      <c r="AJ19" s="43"/>
      <c r="AK19" s="42"/>
      <c r="AL19" s="43"/>
      <c r="AM19" s="43"/>
      <c r="AN19" s="42"/>
      <c r="AO19" s="43"/>
      <c r="AP19" s="43"/>
      <c r="AQ19" s="42"/>
      <c r="AR19" s="43"/>
      <c r="AS19" s="43"/>
      <c r="AT19" s="42"/>
      <c r="AU19" s="43"/>
      <c r="AV19" s="44"/>
      <c r="AW19" s="44"/>
    </row>
    <row r="20" spans="1:49" s="137" customFormat="1" ht="156" customHeight="1">
      <c r="A20" s="400">
        <v>3.4</v>
      </c>
      <c r="B20" s="434"/>
      <c r="C20" s="156" t="s">
        <v>783</v>
      </c>
      <c r="D20" s="156" t="s">
        <v>784</v>
      </c>
      <c r="E20" s="156" t="s">
        <v>785</v>
      </c>
      <c r="G20" s="137" t="s">
        <v>786</v>
      </c>
      <c r="H20" s="398"/>
      <c r="I20" s="44"/>
      <c r="J20" s="44"/>
      <c r="K20" s="44"/>
      <c r="L20" s="43"/>
      <c r="M20" s="42"/>
      <c r="N20" s="42"/>
      <c r="O20" s="43" t="s">
        <v>787</v>
      </c>
      <c r="P20" s="63" t="s">
        <v>1683</v>
      </c>
      <c r="Q20" s="42"/>
      <c r="R20" s="42"/>
      <c r="S20" s="43" t="s">
        <v>788</v>
      </c>
      <c r="T20" s="43"/>
      <c r="U20" s="42"/>
      <c r="V20" s="44"/>
      <c r="W20" s="43"/>
      <c r="X20" s="43"/>
      <c r="Y20" s="42"/>
      <c r="Z20" s="44"/>
      <c r="AA20" s="44"/>
      <c r="AB20" s="52"/>
      <c r="AC20" s="43"/>
      <c r="AD20" s="42"/>
      <c r="AE20" s="43"/>
      <c r="AF20" s="63"/>
      <c r="AG20" s="42"/>
      <c r="AH20" s="43"/>
      <c r="AI20" s="43"/>
      <c r="AJ20" s="43"/>
      <c r="AK20" s="43"/>
      <c r="AL20" s="42"/>
      <c r="AM20" s="43"/>
      <c r="AN20" s="42"/>
      <c r="AO20" s="43"/>
      <c r="AP20" s="43"/>
      <c r="AQ20" s="44"/>
      <c r="AR20" s="42"/>
      <c r="AS20" s="43"/>
      <c r="AT20" s="44"/>
      <c r="AU20" s="42"/>
      <c r="AV20" s="44"/>
      <c r="AW20" s="44"/>
    </row>
    <row r="21" spans="1:49" s="137" customFormat="1" ht="15.75" customHeight="1">
      <c r="A21" s="400">
        <v>3.5</v>
      </c>
      <c r="B21" s="435"/>
      <c r="C21" s="435"/>
      <c r="D21" s="56"/>
      <c r="E21" s="43"/>
      <c r="F21" s="56"/>
      <c r="G21" s="398"/>
      <c r="H21" s="398"/>
      <c r="I21" s="44"/>
      <c r="J21" s="44"/>
      <c r="K21" s="44"/>
      <c r="L21" s="43"/>
      <c r="M21" s="42"/>
      <c r="N21" s="42"/>
      <c r="O21" s="43"/>
      <c r="P21" s="43"/>
      <c r="Q21" s="42"/>
      <c r="R21" s="43"/>
      <c r="S21" s="43"/>
      <c r="T21" s="63"/>
      <c r="U21" s="42"/>
      <c r="V21" s="43"/>
      <c r="W21" s="43"/>
      <c r="X21" s="63"/>
      <c r="Y21" s="42"/>
      <c r="Z21" s="44"/>
      <c r="AA21" s="44"/>
      <c r="AB21" s="42"/>
      <c r="AC21" s="43"/>
      <c r="AD21" s="42"/>
      <c r="AE21" s="43"/>
      <c r="AF21" s="43"/>
      <c r="AG21" s="42"/>
      <c r="AH21" s="43"/>
      <c r="AI21" s="43"/>
      <c r="AJ21" s="42"/>
      <c r="AK21" s="42"/>
      <c r="AL21" s="44"/>
      <c r="AM21" s="44"/>
      <c r="AN21" s="44"/>
      <c r="AO21" s="44"/>
      <c r="AP21" s="44"/>
      <c r="AQ21" s="44"/>
      <c r="AR21" s="44"/>
      <c r="AS21" s="44"/>
      <c r="AT21" s="44"/>
      <c r="AU21" s="44"/>
      <c r="AV21" s="44"/>
      <c r="AW21" s="44"/>
    </row>
    <row r="22" spans="1:49" s="137" customFormat="1" ht="15.75" customHeight="1">
      <c r="A22" s="397">
        <v>3.6</v>
      </c>
      <c r="B22" s="398"/>
      <c r="C22" s="398"/>
      <c r="D22" s="398"/>
      <c r="E22" s="398"/>
      <c r="F22" s="398"/>
      <c r="G22" s="42"/>
      <c r="H22" s="42"/>
      <c r="I22" s="44"/>
      <c r="J22" s="44"/>
      <c r="K22" s="44"/>
      <c r="L22" s="43"/>
      <c r="M22" s="43"/>
      <c r="N22" s="42"/>
      <c r="O22" s="43"/>
      <c r="P22" s="43"/>
      <c r="Q22" s="42"/>
      <c r="R22" s="42"/>
      <c r="S22" s="43"/>
      <c r="T22" s="43"/>
      <c r="U22" s="42"/>
      <c r="V22" s="43"/>
      <c r="W22" s="43"/>
      <c r="X22" s="43"/>
      <c r="Y22" s="42"/>
      <c r="Z22" s="44"/>
      <c r="AA22" s="44"/>
      <c r="AB22" s="43"/>
      <c r="AC22" s="42"/>
      <c r="AD22" s="42"/>
      <c r="AE22" s="43"/>
      <c r="AF22" s="43"/>
      <c r="AG22" s="42"/>
      <c r="AH22" s="43"/>
      <c r="AI22" s="43"/>
      <c r="AJ22" s="42"/>
      <c r="AK22" s="42"/>
      <c r="AL22" s="43"/>
      <c r="AM22" s="42"/>
      <c r="AN22" s="42"/>
      <c r="AO22" s="43"/>
      <c r="AP22" s="42"/>
      <c r="AQ22" s="42"/>
      <c r="AR22" s="43"/>
      <c r="AS22" s="42"/>
      <c r="AT22" s="44"/>
      <c r="AU22" s="42"/>
      <c r="AV22" s="44"/>
      <c r="AW22" s="44"/>
    </row>
    <row r="23" spans="1:49" s="774" customFormat="1" ht="15.75" customHeight="1">
      <c r="A23" s="436">
        <v>3.7</v>
      </c>
      <c r="B23" s="40"/>
      <c r="C23" s="40"/>
      <c r="D23" s="40"/>
      <c r="E23" s="40"/>
      <c r="F23" s="40"/>
      <c r="G23" s="40"/>
      <c r="H23" s="40"/>
      <c r="I23" s="105"/>
      <c r="J23" s="105"/>
      <c r="K23" s="105"/>
      <c r="L23" s="83"/>
      <c r="M23" s="105"/>
      <c r="N23" s="105"/>
      <c r="O23" s="105"/>
      <c r="P23" s="105"/>
      <c r="Q23" s="105"/>
      <c r="R23" s="105"/>
      <c r="S23" s="105"/>
      <c r="T23" s="140"/>
      <c r="U23" s="105"/>
      <c r="V23" s="83"/>
      <c r="W23" s="105"/>
      <c r="X23" s="105"/>
      <c r="Y23" s="105"/>
      <c r="Z23" s="83"/>
      <c r="AA23" s="105"/>
      <c r="AB23" s="83"/>
      <c r="AC23" s="83"/>
      <c r="AD23" s="105"/>
      <c r="AE23" s="83"/>
      <c r="AF23" s="140"/>
      <c r="AG23" s="105"/>
      <c r="AH23" s="83"/>
      <c r="AI23" s="83"/>
      <c r="AJ23" s="83"/>
      <c r="AK23" s="105"/>
      <c r="AL23" s="83"/>
      <c r="AM23" s="105"/>
      <c r="AN23" s="105"/>
      <c r="AO23" s="83"/>
      <c r="AP23" s="83"/>
      <c r="AQ23" s="105"/>
      <c r="AR23" s="83"/>
      <c r="AS23" s="83"/>
      <c r="AT23" s="105"/>
      <c r="AU23" s="105"/>
      <c r="AV23" s="105"/>
      <c r="AW23" s="105"/>
    </row>
    <row r="24" spans="1:49" ht="20.25">
      <c r="A24" s="833" t="s">
        <v>789</v>
      </c>
      <c r="B24" s="834"/>
      <c r="C24" s="834"/>
      <c r="D24" s="834"/>
      <c r="E24" s="835"/>
      <c r="F24" s="56" t="s">
        <v>664</v>
      </c>
      <c r="G24" s="404" t="s">
        <v>664</v>
      </c>
      <c r="H24" s="137"/>
      <c r="I24" s="137"/>
      <c r="J24" s="137"/>
      <c r="K24" s="137"/>
      <c r="L24" s="156"/>
      <c r="M24" s="137"/>
      <c r="N24" s="137"/>
      <c r="O24" s="137"/>
      <c r="Q24" s="137"/>
      <c r="R24" s="137"/>
      <c r="S24" s="137"/>
      <c r="T24" s="137"/>
      <c r="U24" s="137"/>
      <c r="V24" s="137"/>
      <c r="W24" s="137"/>
      <c r="X24" s="137"/>
      <c r="Y24" s="137"/>
      <c r="Z24" s="137"/>
      <c r="AA24" s="137"/>
      <c r="AB24" s="137"/>
      <c r="AC24" s="137"/>
      <c r="AD24" s="137"/>
      <c r="AE24" s="137"/>
      <c r="AF24" s="137"/>
      <c r="AG24" s="137"/>
      <c r="AH24" s="137"/>
      <c r="AI24" s="137"/>
      <c r="AJ24" s="137"/>
      <c r="AK24" s="137"/>
      <c r="AL24" s="137"/>
      <c r="AM24" s="137"/>
      <c r="AN24" s="137"/>
      <c r="AO24" s="137"/>
      <c r="AP24" s="137"/>
      <c r="AQ24" s="137"/>
      <c r="AR24" s="137"/>
      <c r="AS24" s="137"/>
      <c r="AT24" s="137"/>
      <c r="AU24" s="137"/>
      <c r="AV24" s="137"/>
      <c r="AW24" s="137"/>
    </row>
    <row r="25" spans="1:49" s="137" customFormat="1" ht="61.5" customHeight="1">
      <c r="A25" s="437">
        <v>4.0999999999999996</v>
      </c>
      <c r="B25" s="438"/>
      <c r="C25" s="240" t="s">
        <v>777</v>
      </c>
      <c r="D25" s="439" t="s">
        <v>790</v>
      </c>
      <c r="E25" s="440" t="s">
        <v>791</v>
      </c>
      <c r="F25" s="238"/>
      <c r="G25" s="59" t="s">
        <v>664</v>
      </c>
      <c r="H25" s="59"/>
      <c r="I25" s="44"/>
      <c r="J25" s="44"/>
      <c r="K25" s="44"/>
      <c r="L25" s="58"/>
      <c r="M25" s="58" t="s">
        <v>792</v>
      </c>
      <c r="N25" s="59" t="s">
        <v>793</v>
      </c>
      <c r="O25" s="411" t="s">
        <v>794</v>
      </c>
      <c r="P25" s="59" t="s">
        <v>795</v>
      </c>
      <c r="Q25" s="412"/>
      <c r="R25" s="412"/>
      <c r="S25" s="59" t="s">
        <v>796</v>
      </c>
      <c r="T25" s="59"/>
      <c r="U25" s="59"/>
      <c r="V25" s="59"/>
      <c r="W25" s="59"/>
      <c r="X25" s="59"/>
      <c r="Y25" s="59"/>
      <c r="Z25" s="58"/>
      <c r="AA25" s="59"/>
      <c r="AB25" s="58"/>
      <c r="AC25" s="58"/>
      <c r="AD25" s="58"/>
      <c r="AE25" s="59"/>
      <c r="AF25" s="58"/>
      <c r="AG25" s="59"/>
      <c r="AH25" s="59"/>
      <c r="AI25" s="59"/>
      <c r="AJ25" s="59"/>
      <c r="AK25" s="59"/>
      <c r="AL25" s="59"/>
      <c r="AM25" s="59"/>
      <c r="AN25" s="59"/>
      <c r="AO25" s="58"/>
      <c r="AP25" s="59"/>
      <c r="AQ25" s="59"/>
      <c r="AR25" s="59"/>
      <c r="AS25" s="59"/>
      <c r="AT25" s="59"/>
      <c r="AU25" s="59"/>
      <c r="AV25" s="44"/>
      <c r="AW25" s="44"/>
    </row>
    <row r="26" spans="1:49" s="137" customFormat="1" ht="72" customHeight="1">
      <c r="A26" s="441">
        <v>4.2</v>
      </c>
      <c r="B26" s="25"/>
      <c r="C26" s="442"/>
      <c r="D26" s="432"/>
      <c r="E26" s="398"/>
      <c r="F26" s="56"/>
      <c r="G26" s="42"/>
      <c r="H26" s="42"/>
      <c r="I26" s="44"/>
      <c r="J26" s="44"/>
      <c r="K26" s="44"/>
      <c r="L26" s="43"/>
      <c r="M26" s="42"/>
      <c r="N26" s="42"/>
      <c r="O26" s="207"/>
      <c r="P26" s="42"/>
      <c r="Q26" s="208"/>
      <c r="R26" s="208"/>
      <c r="S26" s="42"/>
      <c r="T26" s="42"/>
      <c r="U26" s="42"/>
      <c r="V26" s="44"/>
      <c r="W26" s="42"/>
      <c r="X26" s="44"/>
      <c r="Y26" s="42"/>
      <c r="Z26" s="43"/>
      <c r="AA26" s="44"/>
      <c r="AB26" s="42"/>
      <c r="AC26" s="43"/>
      <c r="AD26" s="43"/>
      <c r="AE26" s="43"/>
      <c r="AF26" s="42"/>
      <c r="AG26" s="42"/>
      <c r="AH26" s="43"/>
      <c r="AI26" s="43"/>
      <c r="AJ26" s="42"/>
      <c r="AK26" s="42"/>
      <c r="AL26" s="43"/>
      <c r="AM26" s="42"/>
      <c r="AN26" s="42"/>
      <c r="AO26" s="43"/>
      <c r="AP26" s="42"/>
      <c r="AQ26" s="42"/>
      <c r="AR26" s="43"/>
      <c r="AS26" s="42"/>
      <c r="AT26" s="42"/>
      <c r="AU26" s="42"/>
      <c r="AV26" s="44"/>
      <c r="AW26" s="44"/>
    </row>
    <row r="27" spans="1:49" s="137" customFormat="1" ht="15.75" customHeight="1">
      <c r="A27" s="441">
        <v>4.3</v>
      </c>
      <c r="B27" s="443"/>
      <c r="C27" s="443"/>
      <c r="D27" s="444"/>
      <c r="E27" s="398"/>
      <c r="F27" s="56"/>
      <c r="G27" s="42"/>
      <c r="H27" s="42"/>
      <c r="I27" s="44"/>
      <c r="J27" s="44"/>
      <c r="K27" s="44"/>
      <c r="L27" s="43"/>
      <c r="M27" s="43"/>
      <c r="N27" s="42"/>
      <c r="O27" s="207"/>
      <c r="P27" s="42"/>
      <c r="Q27" s="208"/>
      <c r="R27" s="208"/>
      <c r="S27" s="43"/>
      <c r="T27" s="42"/>
      <c r="U27" s="42"/>
      <c r="V27" s="44"/>
      <c r="W27" s="43"/>
      <c r="X27" s="44"/>
      <c r="Y27" s="42"/>
      <c r="Z27" s="43"/>
      <c r="AA27" s="44"/>
      <c r="AB27" s="42"/>
      <c r="AC27" s="43"/>
      <c r="AD27" s="43"/>
      <c r="AE27" s="43"/>
      <c r="AF27" s="42"/>
      <c r="AG27" s="42"/>
      <c r="AH27" s="43"/>
      <c r="AI27" s="43"/>
      <c r="AJ27" s="42"/>
      <c r="AK27" s="42"/>
      <c r="AL27" s="43"/>
      <c r="AM27" s="42"/>
      <c r="AN27" s="42"/>
      <c r="AO27" s="43"/>
      <c r="AP27" s="42"/>
      <c r="AQ27" s="42"/>
      <c r="AR27" s="43"/>
      <c r="AS27" s="42"/>
      <c r="AT27" s="42"/>
      <c r="AU27" s="43"/>
      <c r="AV27" s="44"/>
      <c r="AW27" s="44"/>
    </row>
    <row r="28" spans="1:49" s="137" customFormat="1" ht="15.75" customHeight="1">
      <c r="A28" s="441">
        <v>4.4000000000000004</v>
      </c>
      <c r="B28" s="443"/>
      <c r="C28" s="443"/>
      <c r="D28" s="444"/>
      <c r="E28" s="398"/>
      <c r="F28" s="56"/>
      <c r="G28" s="42"/>
      <c r="H28" s="42"/>
      <c r="I28" s="44"/>
      <c r="J28" s="44"/>
      <c r="K28" s="44"/>
      <c r="L28" s="43"/>
      <c r="M28" s="43"/>
      <c r="N28" s="42"/>
      <c r="O28" s="445"/>
      <c r="P28" s="42"/>
      <c r="Q28" s="208"/>
      <c r="R28" s="208"/>
      <c r="S28" s="42"/>
      <c r="T28" s="43"/>
      <c r="U28" s="42"/>
      <c r="V28" s="44"/>
      <c r="W28" s="42"/>
      <c r="X28" s="44"/>
      <c r="Y28" s="42"/>
      <c r="Z28" s="43"/>
      <c r="AA28" s="44"/>
      <c r="AB28" s="42"/>
      <c r="AC28" s="42"/>
      <c r="AD28" s="44"/>
      <c r="AE28" s="42"/>
      <c r="AF28" s="42"/>
      <c r="AG28" s="42"/>
      <c r="AH28" s="44"/>
      <c r="AI28" s="42"/>
      <c r="AJ28" s="42"/>
      <c r="AK28" s="44"/>
      <c r="AL28" s="42"/>
      <c r="AM28" s="42"/>
      <c r="AN28" s="44"/>
      <c r="AO28" s="43"/>
      <c r="AP28" s="42"/>
      <c r="AQ28" s="44"/>
      <c r="AR28" s="43"/>
      <c r="AS28" s="44"/>
      <c r="AT28" s="44"/>
      <c r="AU28" s="43"/>
      <c r="AV28" s="44"/>
      <c r="AW28" s="44"/>
    </row>
    <row r="29" spans="1:49" s="137" customFormat="1" ht="15.75" customHeight="1">
      <c r="A29" s="441">
        <v>4.5</v>
      </c>
      <c r="B29" s="22"/>
      <c r="C29" s="22"/>
      <c r="D29" s="444"/>
      <c r="E29" s="398"/>
      <c r="F29" s="56"/>
      <c r="G29" s="42"/>
      <c r="H29" s="42"/>
      <c r="I29" s="44"/>
      <c r="J29" s="44"/>
      <c r="K29" s="44"/>
      <c r="L29" s="43"/>
      <c r="M29" s="42"/>
      <c r="N29" s="42"/>
      <c r="O29" s="207"/>
      <c r="P29" s="43"/>
      <c r="Q29" s="208"/>
      <c r="R29" s="208"/>
      <c r="S29" s="43"/>
      <c r="T29" s="63"/>
      <c r="U29" s="42"/>
      <c r="V29" s="106"/>
      <c r="W29" s="43"/>
      <c r="X29" s="43"/>
      <c r="Y29" s="42"/>
      <c r="Z29" s="44"/>
      <c r="AA29" s="44"/>
      <c r="AB29" s="42"/>
      <c r="AC29" s="43"/>
      <c r="AD29" s="42"/>
      <c r="AE29" s="43"/>
      <c r="AF29" s="43"/>
      <c r="AG29" s="42"/>
      <c r="AH29" s="44"/>
      <c r="AI29" s="42"/>
      <c r="AJ29" s="42"/>
      <c r="AK29" s="42"/>
      <c r="AL29" s="42"/>
      <c r="AM29" s="43"/>
      <c r="AN29" s="42"/>
      <c r="AO29" s="43"/>
      <c r="AP29" s="42"/>
      <c r="AQ29" s="42"/>
      <c r="AR29" s="43"/>
      <c r="AS29" s="43"/>
      <c r="AT29" s="42"/>
      <c r="AU29" s="42"/>
      <c r="AV29" s="44"/>
      <c r="AW29" s="44"/>
    </row>
    <row r="30" spans="1:49" s="137" customFormat="1" ht="15.75" customHeight="1">
      <c r="A30" s="441">
        <v>4.5999999999999996</v>
      </c>
      <c r="B30" s="22"/>
      <c r="C30" s="22"/>
      <c r="D30" s="444"/>
      <c r="E30" s="398"/>
      <c r="F30" s="56"/>
      <c r="G30" s="42"/>
      <c r="H30" s="42"/>
      <c r="I30" s="44"/>
      <c r="J30" s="44"/>
      <c r="K30" s="44"/>
      <c r="L30" s="43"/>
      <c r="M30" s="42"/>
      <c r="N30" s="42"/>
      <c r="O30" s="207"/>
      <c r="P30" s="63"/>
      <c r="Q30" s="208"/>
      <c r="R30" s="208"/>
      <c r="S30" s="43"/>
      <c r="T30" s="42"/>
      <c r="U30" s="42"/>
      <c r="V30" s="44"/>
      <c r="W30" s="43"/>
      <c r="X30" s="43"/>
      <c r="Y30" s="42"/>
      <c r="Z30" s="44"/>
      <c r="AA30" s="44"/>
      <c r="AB30" s="43"/>
      <c r="AC30" s="44"/>
      <c r="AD30" s="44"/>
      <c r="AE30" s="42"/>
      <c r="AF30" s="42"/>
      <c r="AG30" s="42"/>
      <c r="AH30" s="44"/>
      <c r="AI30" s="44"/>
      <c r="AJ30" s="44"/>
      <c r="AK30" s="44"/>
      <c r="AL30" s="44"/>
      <c r="AM30" s="44"/>
      <c r="AN30" s="44"/>
      <c r="AO30" s="43"/>
      <c r="AP30" s="42"/>
      <c r="AQ30" s="44"/>
      <c r="AR30" s="43"/>
      <c r="AS30" s="44"/>
      <c r="AT30" s="44"/>
      <c r="AU30" s="44"/>
      <c r="AV30" s="44"/>
      <c r="AW30" s="44"/>
    </row>
    <row r="31" spans="1:49" ht="20.25">
      <c r="A31" s="836" t="s">
        <v>797</v>
      </c>
      <c r="B31" s="837"/>
      <c r="C31" s="837"/>
      <c r="D31" s="837"/>
      <c r="E31" s="838"/>
      <c r="F31" s="446" t="s">
        <v>798</v>
      </c>
      <c r="G31" s="447" t="s">
        <v>799</v>
      </c>
      <c r="H31" s="448"/>
    </row>
    <row r="32" spans="1:49" s="137" customFormat="1" ht="242.25">
      <c r="A32" s="400">
        <v>5.0999999999999996</v>
      </c>
      <c r="B32" s="398" t="s">
        <v>75</v>
      </c>
      <c r="C32" s="398" t="s">
        <v>800</v>
      </c>
      <c r="D32" s="398"/>
      <c r="E32" s="449" t="s">
        <v>1684</v>
      </c>
      <c r="F32" s="398"/>
      <c r="G32" s="42" t="s">
        <v>799</v>
      </c>
      <c r="H32" s="42"/>
      <c r="I32" s="63" t="s">
        <v>1685</v>
      </c>
      <c r="J32" s="63" t="s">
        <v>1686</v>
      </c>
      <c r="K32" s="42"/>
      <c r="L32" s="43" t="s">
        <v>801</v>
      </c>
      <c r="M32" s="43" t="s">
        <v>802</v>
      </c>
      <c r="N32" s="42"/>
      <c r="O32" s="43" t="s">
        <v>803</v>
      </c>
      <c r="P32" s="43" t="s">
        <v>38</v>
      </c>
      <c r="Q32" s="42"/>
      <c r="R32" s="43"/>
      <c r="S32" s="43" t="s">
        <v>804</v>
      </c>
      <c r="T32" s="43"/>
      <c r="U32" s="43"/>
      <c r="V32" s="42"/>
      <c r="W32" s="42"/>
      <c r="X32" s="63"/>
      <c r="Y32" s="42"/>
      <c r="Z32" s="42"/>
      <c r="AA32" s="42"/>
      <c r="AB32" s="43"/>
      <c r="AC32" s="42"/>
      <c r="AD32" s="42"/>
      <c r="AE32" s="42"/>
      <c r="AF32" s="42"/>
      <c r="AG32" s="42"/>
      <c r="AH32" s="42"/>
      <c r="AI32" s="42"/>
      <c r="AJ32" s="42"/>
      <c r="AK32" s="42"/>
      <c r="AL32" s="42"/>
      <c r="AM32" s="42"/>
      <c r="AN32" s="42"/>
      <c r="AO32" s="42"/>
      <c r="AP32" s="42"/>
      <c r="AQ32" s="42"/>
      <c r="AR32" s="42"/>
      <c r="AS32" s="42"/>
      <c r="AT32" s="42"/>
      <c r="AU32" s="42"/>
      <c r="AV32" s="42"/>
      <c r="AW32" s="42"/>
    </row>
    <row r="33" spans="1:49" s="137" customFormat="1" ht="210" customHeight="1">
      <c r="A33" s="400">
        <v>5.2</v>
      </c>
      <c r="B33" s="56"/>
      <c r="C33" s="398" t="s">
        <v>805</v>
      </c>
      <c r="D33" s="398" t="s">
        <v>805</v>
      </c>
      <c r="E33" s="399" t="s">
        <v>1687</v>
      </c>
      <c r="F33" s="56"/>
      <c r="G33" s="450" t="s">
        <v>806</v>
      </c>
      <c r="H33" s="42"/>
      <c r="I33" s="42"/>
      <c r="J33" s="42"/>
      <c r="K33" s="42"/>
      <c r="L33" s="43"/>
      <c r="M33" s="43"/>
      <c r="N33" s="43"/>
      <c r="O33" s="43"/>
      <c r="P33" s="43"/>
      <c r="Q33" s="42"/>
      <c r="R33" s="42"/>
      <c r="S33" s="43"/>
      <c r="T33" s="63"/>
      <c r="U33" s="42"/>
      <c r="V33" s="42"/>
      <c r="W33" s="43"/>
      <c r="X33" s="43"/>
      <c r="Y33" s="42"/>
      <c r="Z33" s="42"/>
      <c r="AA33" s="42"/>
      <c r="AB33" s="43"/>
      <c r="AC33" s="43"/>
      <c r="AD33" s="42"/>
      <c r="AE33" s="43"/>
      <c r="AF33" s="43"/>
      <c r="AG33" s="42"/>
      <c r="AH33" s="43"/>
      <c r="AI33" s="43"/>
      <c r="AJ33" s="43"/>
      <c r="AK33" s="42"/>
      <c r="AL33" s="43"/>
      <c r="AM33" s="43"/>
      <c r="AN33" s="42"/>
      <c r="AO33" s="43"/>
      <c r="AP33" s="43"/>
      <c r="AQ33" s="42"/>
      <c r="AR33" s="42"/>
      <c r="AS33" s="43"/>
      <c r="AT33" s="42"/>
      <c r="AU33" s="43"/>
      <c r="AV33" s="42"/>
      <c r="AW33" s="42"/>
    </row>
    <row r="34" spans="1:49" ht="57">
      <c r="A34" s="424">
        <v>5.3</v>
      </c>
      <c r="B34" s="451"/>
      <c r="C34" s="398" t="s">
        <v>807</v>
      </c>
      <c r="D34" s="56"/>
      <c r="E34" s="399" t="s">
        <v>1688</v>
      </c>
      <c r="F34" s="56"/>
      <c r="G34" s="42" t="s">
        <v>808</v>
      </c>
      <c r="H34" s="42"/>
      <c r="I34" s="196"/>
      <c r="J34" s="196" t="s">
        <v>809</v>
      </c>
      <c r="K34" s="42"/>
      <c r="L34" s="43"/>
      <c r="M34" s="42"/>
      <c r="N34" s="42"/>
      <c r="O34" s="43"/>
      <c r="P34" s="43"/>
      <c r="Q34" s="42"/>
      <c r="R34" s="43"/>
      <c r="S34" s="43"/>
      <c r="T34" s="43"/>
      <c r="U34" s="42"/>
      <c r="V34" s="43"/>
      <c r="W34" s="43"/>
      <c r="X34" s="42"/>
      <c r="Y34" s="42"/>
      <c r="Z34" s="42"/>
      <c r="AA34" s="42"/>
      <c r="AB34" s="43"/>
      <c r="AC34" s="42"/>
      <c r="AD34" s="42"/>
      <c r="AE34" s="43"/>
      <c r="AF34" s="43"/>
      <c r="AG34" s="42"/>
      <c r="AH34" s="43"/>
      <c r="AI34" s="43"/>
      <c r="AJ34" s="42"/>
      <c r="AK34" s="42"/>
      <c r="AL34" s="43"/>
      <c r="AM34" s="43"/>
      <c r="AN34" s="42"/>
      <c r="AO34" s="43"/>
      <c r="AP34" s="43"/>
      <c r="AQ34" s="42"/>
      <c r="AR34" s="42"/>
      <c r="AS34" s="42"/>
      <c r="AT34" s="42"/>
      <c r="AU34" s="42"/>
      <c r="AV34" s="42"/>
      <c r="AW34" s="42"/>
    </row>
    <row r="35" spans="1:49" ht="182.25" customHeight="1">
      <c r="A35" s="400">
        <v>5.4</v>
      </c>
      <c r="B35" s="451"/>
      <c r="C35" s="452" t="s">
        <v>810</v>
      </c>
      <c r="D35" s="453" t="s">
        <v>811</v>
      </c>
      <c r="E35" s="454" t="s">
        <v>1689</v>
      </c>
      <c r="F35" s="455"/>
      <c r="G35" s="42" t="s">
        <v>343</v>
      </c>
      <c r="H35" s="42"/>
      <c r="I35" s="456" t="s">
        <v>812</v>
      </c>
      <c r="J35" s="456" t="s">
        <v>813</v>
      </c>
      <c r="K35" s="456"/>
      <c r="L35" s="43" t="s">
        <v>814</v>
      </c>
      <c r="M35" s="43" t="s">
        <v>815</v>
      </c>
      <c r="N35" s="42"/>
      <c r="O35" s="43" t="s">
        <v>816</v>
      </c>
      <c r="P35" s="43" t="s">
        <v>817</v>
      </c>
      <c r="Q35" s="42"/>
      <c r="R35" s="42"/>
      <c r="S35" s="43" t="s">
        <v>818</v>
      </c>
      <c r="T35" s="43"/>
      <c r="U35" s="42"/>
      <c r="V35" s="43"/>
      <c r="W35" s="43"/>
      <c r="X35" s="43"/>
      <c r="Y35" s="42"/>
      <c r="Z35" s="42"/>
      <c r="AA35" s="42"/>
      <c r="AB35" s="43"/>
      <c r="AC35" s="63"/>
      <c r="AD35" s="42"/>
      <c r="AE35" s="43"/>
      <c r="AF35" s="43"/>
      <c r="AG35" s="42"/>
      <c r="AH35" s="43"/>
      <c r="AI35" s="42"/>
      <c r="AJ35" s="456"/>
      <c r="AK35" s="42"/>
      <c r="AL35" s="43"/>
      <c r="AM35" s="42"/>
      <c r="AN35" s="42"/>
      <c r="AO35" s="43"/>
      <c r="AP35" s="43"/>
      <c r="AQ35" s="42"/>
      <c r="AR35" s="42"/>
      <c r="AS35" s="43"/>
      <c r="AT35" s="42"/>
      <c r="AU35" s="43"/>
      <c r="AV35" s="42"/>
      <c r="AW35" s="42"/>
    </row>
    <row r="36" spans="1:49" ht="57">
      <c r="A36" s="457">
        <v>5.5</v>
      </c>
      <c r="B36" s="44"/>
      <c r="C36" s="458" t="s">
        <v>819</v>
      </c>
      <c r="D36" s="459"/>
      <c r="E36" s="460" t="s">
        <v>820</v>
      </c>
      <c r="F36" s="79" t="s">
        <v>808</v>
      </c>
      <c r="G36" s="44" t="s">
        <v>808</v>
      </c>
      <c r="H36" s="44"/>
      <c r="I36" s="74" t="s">
        <v>809</v>
      </c>
      <c r="J36" s="74" t="s">
        <v>809</v>
      </c>
      <c r="K36" s="44"/>
      <c r="L36" s="73" t="s">
        <v>772</v>
      </c>
      <c r="M36" s="73" t="s">
        <v>773</v>
      </c>
      <c r="N36" s="461"/>
      <c r="O36" s="73" t="s">
        <v>774</v>
      </c>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74"/>
      <c r="AP36" s="74"/>
      <c r="AQ36" s="44"/>
      <c r="AR36" s="44"/>
      <c r="AS36" s="44"/>
      <c r="AT36" s="44"/>
      <c r="AU36" s="44"/>
      <c r="AV36" s="44"/>
      <c r="AW36" s="44"/>
    </row>
    <row r="37" spans="1:49" ht="57">
      <c r="A37" s="457">
        <v>5.6</v>
      </c>
      <c r="B37" s="44"/>
      <c r="C37" s="462" t="s">
        <v>821</v>
      </c>
      <c r="D37" s="458"/>
      <c r="E37" s="462" t="s">
        <v>822</v>
      </c>
      <c r="F37" s="79" t="s">
        <v>808</v>
      </c>
      <c r="G37" s="44" t="s">
        <v>808</v>
      </c>
      <c r="H37" s="44"/>
      <c r="I37" s="44" t="s">
        <v>823</v>
      </c>
      <c r="J37" s="74" t="s">
        <v>824</v>
      </c>
      <c r="K37" s="44"/>
      <c r="L37" s="74" t="s">
        <v>825</v>
      </c>
      <c r="M37" s="74" t="s">
        <v>826</v>
      </c>
      <c r="N37" s="44"/>
      <c r="O37" s="74" t="s">
        <v>827</v>
      </c>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74"/>
      <c r="AP37" s="74"/>
      <c r="AQ37" s="44"/>
      <c r="AR37" s="44"/>
      <c r="AS37" s="44"/>
      <c r="AT37" s="44"/>
      <c r="AU37" s="44"/>
      <c r="AV37" s="44"/>
      <c r="AW37" s="44"/>
    </row>
    <row r="38" spans="1:49" ht="57">
      <c r="A38" s="463">
        <v>5.7</v>
      </c>
      <c r="B38" s="105"/>
      <c r="C38" s="464" t="s">
        <v>828</v>
      </c>
      <c r="D38" s="465"/>
      <c r="E38" s="464" t="s">
        <v>829</v>
      </c>
      <c r="F38" s="466" t="s">
        <v>808</v>
      </c>
      <c r="G38" s="105" t="s">
        <v>808</v>
      </c>
      <c r="H38" s="105"/>
      <c r="I38" s="105"/>
      <c r="J38" s="105"/>
      <c r="K38" s="105"/>
      <c r="L38" s="467" t="s">
        <v>830</v>
      </c>
      <c r="M38" s="468" t="s">
        <v>831</v>
      </c>
      <c r="N38" s="468"/>
      <c r="O38" s="467" t="s">
        <v>832</v>
      </c>
      <c r="P38" s="105" t="s">
        <v>833</v>
      </c>
      <c r="Q38" s="105"/>
      <c r="R38" s="105"/>
      <c r="S38" s="105" t="s">
        <v>834</v>
      </c>
      <c r="T38" s="105"/>
      <c r="U38" s="105"/>
      <c r="V38" s="105"/>
      <c r="W38" s="105"/>
      <c r="X38" s="105"/>
      <c r="Y38" s="105"/>
      <c r="Z38" s="105"/>
      <c r="AA38" s="105"/>
      <c r="AB38" s="105"/>
      <c r="AC38" s="105"/>
      <c r="AD38" s="105"/>
      <c r="AE38" s="105"/>
      <c r="AF38" s="105"/>
      <c r="AG38" s="105"/>
      <c r="AH38" s="105"/>
      <c r="AI38" s="105"/>
      <c r="AJ38" s="105"/>
      <c r="AK38" s="105"/>
      <c r="AL38" s="105"/>
      <c r="AM38" s="105"/>
      <c r="AN38" s="105"/>
      <c r="AO38" s="83"/>
      <c r="AP38" s="83"/>
      <c r="AQ38" s="105"/>
      <c r="AR38" s="105"/>
      <c r="AS38" s="105"/>
      <c r="AT38" s="105"/>
      <c r="AU38" s="105"/>
      <c r="AV38" s="105"/>
      <c r="AW38" s="105"/>
    </row>
    <row r="39" spans="1:49" s="137" customFormat="1" ht="204">
      <c r="A39" s="469">
        <v>5.8</v>
      </c>
      <c r="B39" s="470"/>
      <c r="C39" s="471" t="s">
        <v>835</v>
      </c>
      <c r="D39" s="297" t="s">
        <v>1690</v>
      </c>
      <c r="E39" s="266" t="s">
        <v>1691</v>
      </c>
      <c r="F39" s="44"/>
      <c r="G39" s="74" t="s">
        <v>836</v>
      </c>
      <c r="H39" s="44"/>
      <c r="I39" s="44"/>
      <c r="J39" s="472"/>
      <c r="K39" s="44"/>
      <c r="L39" s="74" t="s">
        <v>837</v>
      </c>
      <c r="M39" s="74" t="s">
        <v>838</v>
      </c>
      <c r="N39" s="44"/>
      <c r="O39" s="74" t="s">
        <v>839</v>
      </c>
      <c r="P39" s="44" t="s">
        <v>840</v>
      </c>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74"/>
      <c r="AP39" s="74"/>
      <c r="AQ39" s="44"/>
      <c r="AR39" s="44"/>
      <c r="AS39" s="44"/>
      <c r="AT39" s="44"/>
      <c r="AU39" s="44"/>
      <c r="AV39" s="44"/>
      <c r="AW39" s="44"/>
    </row>
    <row r="40" spans="1:49" ht="57">
      <c r="A40" s="473">
        <v>5.9</v>
      </c>
      <c r="B40" s="470"/>
      <c r="C40" s="471" t="s">
        <v>841</v>
      </c>
      <c r="D40" s="266" t="s">
        <v>842</v>
      </c>
      <c r="E40" s="266" t="s">
        <v>843</v>
      </c>
      <c r="F40" s="42"/>
      <c r="G40" s="42" t="s">
        <v>844</v>
      </c>
      <c r="H40" s="42"/>
      <c r="I40" s="42"/>
      <c r="J40" s="412"/>
      <c r="K40" s="59"/>
      <c r="L40" s="58"/>
      <c r="M40" s="59"/>
      <c r="N40" s="59"/>
      <c r="O40" s="58" t="s">
        <v>845</v>
      </c>
      <c r="P40" s="156" t="s">
        <v>846</v>
      </c>
      <c r="Q40" s="59"/>
      <c r="R40" s="59"/>
      <c r="S40" s="59" t="s">
        <v>847</v>
      </c>
      <c r="T40" s="59"/>
      <c r="U40" s="59"/>
      <c r="V40" s="59"/>
      <c r="W40" s="59"/>
      <c r="X40" s="59"/>
      <c r="Y40" s="59"/>
      <c r="Z40" s="59"/>
      <c r="AA40" s="59"/>
      <c r="AB40" s="59"/>
      <c r="AC40" s="59"/>
      <c r="AD40" s="59"/>
      <c r="AE40" s="59"/>
      <c r="AF40" s="59"/>
      <c r="AG40" s="59"/>
      <c r="AH40" s="59"/>
      <c r="AI40" s="59"/>
      <c r="AJ40" s="59"/>
      <c r="AK40" s="59"/>
      <c r="AL40" s="59"/>
      <c r="AM40" s="59"/>
      <c r="AN40" s="59"/>
      <c r="AO40" s="58"/>
      <c r="AP40" s="58"/>
      <c r="AQ40" s="59"/>
      <c r="AR40" s="59"/>
      <c r="AS40" s="59"/>
      <c r="AT40" s="59"/>
      <c r="AU40" s="59"/>
      <c r="AV40" s="59"/>
      <c r="AW40" s="59"/>
    </row>
    <row r="41" spans="1:49" ht="99.75">
      <c r="A41" s="473" t="s">
        <v>848</v>
      </c>
      <c r="B41" s="470"/>
      <c r="C41" s="471" t="s">
        <v>849</v>
      </c>
      <c r="D41" s="266" t="s">
        <v>850</v>
      </c>
      <c r="E41" s="266" t="s">
        <v>851</v>
      </c>
      <c r="F41" s="42"/>
      <c r="G41" s="42" t="s">
        <v>129</v>
      </c>
      <c r="H41" s="42"/>
      <c r="I41" s="42"/>
      <c r="J41" s="412"/>
      <c r="K41" s="59"/>
      <c r="L41" s="58"/>
      <c r="M41" s="43" t="s">
        <v>852</v>
      </c>
      <c r="N41" s="59"/>
      <c r="O41" s="58" t="s">
        <v>853</v>
      </c>
      <c r="P41" s="58" t="s">
        <v>854</v>
      </c>
      <c r="Q41" s="59"/>
      <c r="R41" s="58"/>
      <c r="S41" s="58" t="s">
        <v>855</v>
      </c>
      <c r="T41" s="59"/>
      <c r="U41" s="59"/>
      <c r="V41" s="59"/>
      <c r="W41" s="59"/>
      <c r="X41" s="59"/>
      <c r="Y41" s="59"/>
      <c r="Z41" s="59"/>
      <c r="AA41" s="59"/>
      <c r="AB41" s="59"/>
      <c r="AC41" s="59"/>
      <c r="AD41" s="59"/>
      <c r="AE41" s="59"/>
      <c r="AF41" s="59"/>
      <c r="AG41" s="59"/>
      <c r="AH41" s="59"/>
      <c r="AI41" s="59"/>
      <c r="AJ41" s="59"/>
      <c r="AK41" s="59"/>
      <c r="AL41" s="59"/>
      <c r="AM41" s="59"/>
      <c r="AN41" s="59"/>
      <c r="AO41" s="58"/>
      <c r="AP41" s="58"/>
      <c r="AQ41" s="59"/>
      <c r="AR41" s="59"/>
      <c r="AS41" s="59"/>
      <c r="AT41" s="59"/>
      <c r="AU41" s="59"/>
      <c r="AV41" s="59"/>
      <c r="AW41" s="59"/>
    </row>
    <row r="42" spans="1:49" ht="20.25">
      <c r="A42" s="839" t="s">
        <v>856</v>
      </c>
      <c r="B42" s="840"/>
      <c r="C42" s="840"/>
      <c r="D42" s="841"/>
      <c r="E42" s="842"/>
      <c r="F42" s="474"/>
      <c r="G42" s="474"/>
      <c r="H42" s="59"/>
      <c r="I42" s="59"/>
      <c r="J42" s="59"/>
      <c r="K42" s="59"/>
      <c r="L42" s="58"/>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8"/>
      <c r="AP42" s="58"/>
      <c r="AQ42" s="59"/>
      <c r="AR42" s="59"/>
      <c r="AS42" s="59"/>
      <c r="AT42" s="59"/>
      <c r="AU42" s="59"/>
      <c r="AV42" s="59"/>
      <c r="AW42" s="59"/>
    </row>
    <row r="43" spans="1:49" s="137" customFormat="1" ht="57">
      <c r="A43" s="475">
        <v>6.1</v>
      </c>
      <c r="B43" s="42"/>
      <c r="C43" s="43" t="s">
        <v>857</v>
      </c>
      <c r="D43" s="43" t="s">
        <v>858</v>
      </c>
      <c r="E43" s="43" t="s">
        <v>859</v>
      </c>
      <c r="F43" s="42"/>
      <c r="G43" s="40" t="s">
        <v>860</v>
      </c>
      <c r="H43" s="41"/>
      <c r="I43" s="40"/>
      <c r="J43" s="40"/>
      <c r="K43" s="40"/>
      <c r="L43" s="39"/>
      <c r="M43" s="40"/>
      <c r="N43" s="40"/>
      <c r="O43" s="39" t="s">
        <v>845</v>
      </c>
      <c r="P43" s="39" t="s">
        <v>846</v>
      </c>
      <c r="Q43" s="40"/>
      <c r="R43" s="40"/>
      <c r="S43" s="39" t="s">
        <v>861</v>
      </c>
      <c r="T43" s="40"/>
      <c r="U43" s="40"/>
      <c r="V43" s="40"/>
      <c r="W43" s="40"/>
      <c r="X43" s="40"/>
      <c r="Y43" s="40"/>
      <c r="Z43" s="40"/>
      <c r="AA43" s="40"/>
      <c r="AB43" s="40"/>
      <c r="AC43" s="40"/>
      <c r="AD43" s="40"/>
      <c r="AE43" s="40"/>
      <c r="AF43" s="40"/>
      <c r="AG43" s="40"/>
      <c r="AH43" s="40"/>
      <c r="AI43" s="40"/>
      <c r="AJ43" s="40"/>
      <c r="AK43" s="40"/>
      <c r="AL43" s="40"/>
      <c r="AM43" s="40"/>
      <c r="AN43" s="40"/>
      <c r="AO43" s="39"/>
      <c r="AP43" s="39"/>
      <c r="AQ43" s="40"/>
      <c r="AR43" s="39"/>
      <c r="AS43" s="39"/>
      <c r="AT43" s="40"/>
      <c r="AU43" s="39"/>
      <c r="AV43" s="40"/>
      <c r="AW43" s="40"/>
    </row>
    <row r="44" spans="1:49" ht="126.75" customHeight="1">
      <c r="A44" s="476">
        <v>6.2</v>
      </c>
      <c r="B44" s="137"/>
      <c r="C44" s="156" t="s">
        <v>862</v>
      </c>
      <c r="D44" s="156" t="s">
        <v>863</v>
      </c>
      <c r="E44" s="156" t="s">
        <v>864</v>
      </c>
      <c r="F44" s="137"/>
      <c r="G44" s="137" t="s">
        <v>798</v>
      </c>
      <c r="H44" s="137"/>
      <c r="I44" s="137" t="s">
        <v>865</v>
      </c>
      <c r="J44" s="156" t="s">
        <v>866</v>
      </c>
      <c r="K44" s="137"/>
      <c r="L44" s="156" t="s">
        <v>867</v>
      </c>
      <c r="M44" s="156" t="s">
        <v>868</v>
      </c>
      <c r="N44" s="137"/>
      <c r="O44" s="137" t="s">
        <v>869</v>
      </c>
      <c r="P44" s="379"/>
      <c r="Q44" s="379"/>
      <c r="R44" s="137"/>
      <c r="S44" s="137"/>
      <c r="T44" s="137"/>
      <c r="U44" s="137"/>
      <c r="V44" s="137"/>
      <c r="W44" s="137"/>
      <c r="X44" s="137"/>
      <c r="Y44" s="137"/>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row>
    <row r="45" spans="1:49">
      <c r="P45" s="477"/>
      <c r="Q45" s="477"/>
    </row>
    <row r="46" spans="1:49">
      <c r="P46" s="477"/>
      <c r="Q46" s="477"/>
    </row>
    <row r="47" spans="1:49">
      <c r="P47" s="477"/>
      <c r="Q47" s="477"/>
    </row>
    <row r="48" spans="1:49">
      <c r="P48" s="477"/>
      <c r="Q48" s="477"/>
    </row>
    <row r="49" spans="16:17">
      <c r="P49" s="477"/>
      <c r="Q49" s="477"/>
    </row>
    <row r="50" spans="16:17">
      <c r="P50" s="477"/>
      <c r="Q50" s="477"/>
    </row>
    <row r="51" spans="16:17">
      <c r="P51" s="477"/>
      <c r="Q51" s="477"/>
    </row>
    <row r="52" spans="16:17">
      <c r="P52" s="477"/>
      <c r="Q52" s="477"/>
    </row>
    <row r="53" spans="16:17">
      <c r="P53" s="477"/>
      <c r="Q53" s="477"/>
    </row>
    <row r="54" spans="16:17">
      <c r="P54" s="477"/>
      <c r="Q54" s="477"/>
    </row>
    <row r="55" spans="16:17">
      <c r="P55" s="477"/>
      <c r="Q55" s="477"/>
    </row>
    <row r="56" spans="16:17">
      <c r="P56" s="477"/>
      <c r="Q56" s="477"/>
    </row>
    <row r="57" spans="16:17">
      <c r="P57" s="477"/>
      <c r="Q57" s="477"/>
    </row>
    <row r="58" spans="16:17">
      <c r="P58" s="477"/>
      <c r="Q58" s="477"/>
    </row>
    <row r="59" spans="16:17">
      <c r="P59" s="477"/>
      <c r="Q59" s="477"/>
    </row>
    <row r="60" spans="16:17">
      <c r="P60" s="477"/>
      <c r="Q60" s="477"/>
    </row>
    <row r="61" spans="16:17">
      <c r="P61" s="477"/>
      <c r="Q61" s="477"/>
    </row>
    <row r="62" spans="16:17">
      <c r="P62" s="477"/>
      <c r="Q62" s="477"/>
    </row>
    <row r="63" spans="16:17">
      <c r="P63" s="477"/>
      <c r="Q63" s="477"/>
    </row>
    <row r="64" spans="16:17">
      <c r="P64" s="477"/>
      <c r="Q64" s="477"/>
    </row>
    <row r="65" spans="16:17">
      <c r="P65" s="477"/>
      <c r="Q65" s="477"/>
    </row>
    <row r="66" spans="16:17">
      <c r="P66" s="477"/>
      <c r="Q66" s="477"/>
    </row>
    <row r="67" spans="16:17">
      <c r="P67" s="477"/>
      <c r="Q67" s="477"/>
    </row>
    <row r="68" spans="16:17">
      <c r="P68" s="477"/>
      <c r="Q68" s="477"/>
    </row>
    <row r="69" spans="16:17">
      <c r="P69" s="477"/>
      <c r="Q69" s="477"/>
    </row>
    <row r="70" spans="16:17">
      <c r="P70" s="477"/>
      <c r="Q70" s="477"/>
    </row>
    <row r="71" spans="16:17">
      <c r="P71" s="477"/>
      <c r="Q71" s="477"/>
    </row>
    <row r="72" spans="16:17">
      <c r="P72" s="477"/>
      <c r="Q72" s="477"/>
    </row>
    <row r="73" spans="16:17">
      <c r="P73" s="477"/>
      <c r="Q73" s="477"/>
    </row>
    <row r="74" spans="16:17">
      <c r="P74" s="477"/>
      <c r="Q74" s="477"/>
    </row>
    <row r="75" spans="16:17">
      <c r="P75" s="477"/>
      <c r="Q75" s="477"/>
    </row>
    <row r="76" spans="16:17">
      <c r="P76" s="477"/>
      <c r="Q76" s="477"/>
    </row>
    <row r="77" spans="16:17">
      <c r="P77" s="477"/>
      <c r="Q77" s="477"/>
    </row>
    <row r="78" spans="16:17">
      <c r="P78" s="477"/>
      <c r="Q78" s="477"/>
    </row>
    <row r="79" spans="16:17">
      <c r="P79" s="477"/>
      <c r="Q79" s="477"/>
    </row>
    <row r="80" spans="16:17">
      <c r="P80" s="477"/>
      <c r="Q80" s="477"/>
    </row>
    <row r="81" spans="16:17">
      <c r="P81" s="477"/>
      <c r="Q81" s="477"/>
    </row>
    <row r="82" spans="16:17">
      <c r="P82" s="477"/>
      <c r="Q82" s="477"/>
    </row>
    <row r="83" spans="16:17">
      <c r="P83" s="477"/>
      <c r="Q83" s="477"/>
    </row>
    <row r="84" spans="16:17">
      <c r="P84" s="477"/>
      <c r="Q84" s="477"/>
    </row>
    <row r="85" spans="16:17">
      <c r="P85" s="477"/>
      <c r="Q85" s="477"/>
    </row>
    <row r="86" spans="16:17">
      <c r="P86" s="477"/>
      <c r="Q86" s="477"/>
    </row>
    <row r="87" spans="16:17">
      <c r="P87" s="477"/>
      <c r="Q87" s="477"/>
    </row>
    <row r="88" spans="16:17">
      <c r="P88" s="477"/>
      <c r="Q88" s="477"/>
    </row>
    <row r="89" spans="16:17">
      <c r="P89" s="477"/>
      <c r="Q89" s="477"/>
    </row>
    <row r="90" spans="16:17">
      <c r="P90" s="477"/>
      <c r="Q90" s="477"/>
    </row>
    <row r="91" spans="16:17">
      <c r="P91" s="477"/>
      <c r="Q91" s="477"/>
    </row>
    <row r="92" spans="16:17">
      <c r="P92" s="477"/>
      <c r="Q92" s="477"/>
    </row>
    <row r="93" spans="16:17">
      <c r="P93" s="477"/>
      <c r="Q93" s="477"/>
    </row>
    <row r="94" spans="16:17">
      <c r="P94" s="477"/>
      <c r="Q94" s="477"/>
    </row>
    <row r="95" spans="16:17">
      <c r="P95" s="477"/>
      <c r="Q95" s="477"/>
    </row>
    <row r="96" spans="16:17">
      <c r="P96" s="477"/>
      <c r="Q96" s="477"/>
    </row>
    <row r="97" spans="16:17">
      <c r="P97" s="477"/>
      <c r="Q97" s="477"/>
    </row>
    <row r="98" spans="16:17">
      <c r="P98" s="477"/>
      <c r="Q98" s="477"/>
    </row>
    <row r="99" spans="16:17">
      <c r="P99" s="477"/>
      <c r="Q99" s="477"/>
    </row>
    <row r="100" spans="16:17">
      <c r="P100" s="477"/>
      <c r="Q100" s="477"/>
    </row>
    <row r="101" spans="16:17">
      <c r="P101" s="477"/>
      <c r="Q101" s="477"/>
    </row>
    <row r="102" spans="16:17">
      <c r="P102" s="477"/>
      <c r="Q102" s="477"/>
    </row>
    <row r="103" spans="16:17">
      <c r="P103" s="477"/>
      <c r="Q103" s="477"/>
    </row>
    <row r="104" spans="16:17">
      <c r="P104" s="477"/>
      <c r="Q104" s="477"/>
    </row>
    <row r="105" spans="16:17">
      <c r="P105" s="477"/>
      <c r="Q105" s="477"/>
    </row>
    <row r="106" spans="16:17">
      <c r="P106" s="477"/>
      <c r="Q106" s="477"/>
    </row>
    <row r="107" spans="16:17">
      <c r="P107" s="477"/>
      <c r="Q107" s="477"/>
    </row>
    <row r="108" spans="16:17">
      <c r="P108" s="477"/>
      <c r="Q108" s="477"/>
    </row>
    <row r="109" spans="16:17">
      <c r="P109" s="477"/>
      <c r="Q109" s="477"/>
    </row>
    <row r="110" spans="16:17">
      <c r="P110" s="477"/>
      <c r="Q110" s="477"/>
    </row>
    <row r="111" spans="16:17">
      <c r="P111" s="477"/>
      <c r="Q111" s="477"/>
    </row>
    <row r="112" spans="16:17">
      <c r="P112" s="477"/>
      <c r="Q112" s="477"/>
    </row>
    <row r="113" spans="16:17">
      <c r="P113" s="477"/>
      <c r="Q113" s="477"/>
    </row>
    <row r="114" spans="16:17">
      <c r="P114" s="477"/>
      <c r="Q114" s="477"/>
    </row>
    <row r="115" spans="16:17">
      <c r="P115" s="477"/>
      <c r="Q115" s="477"/>
    </row>
    <row r="116" spans="16:17">
      <c r="P116" s="477"/>
      <c r="Q116" s="477"/>
    </row>
    <row r="117" spans="16:17">
      <c r="P117" s="477"/>
      <c r="Q117" s="477"/>
    </row>
    <row r="118" spans="16:17">
      <c r="P118" s="477"/>
      <c r="Q118" s="477"/>
    </row>
    <row r="119" spans="16:17">
      <c r="P119" s="477"/>
      <c r="Q119" s="477"/>
    </row>
    <row r="120" spans="16:17">
      <c r="P120" s="477"/>
      <c r="Q120" s="477"/>
    </row>
    <row r="121" spans="16:17">
      <c r="P121" s="477"/>
      <c r="Q121" s="477"/>
    </row>
    <row r="122" spans="16:17">
      <c r="P122" s="477"/>
      <c r="Q122" s="477"/>
    </row>
    <row r="123" spans="16:17">
      <c r="P123" s="477"/>
      <c r="Q123" s="477"/>
    </row>
    <row r="124" spans="16:17">
      <c r="P124" s="477"/>
      <c r="Q124" s="477"/>
    </row>
    <row r="125" spans="16:17">
      <c r="P125" s="477"/>
      <c r="Q125" s="477"/>
    </row>
    <row r="126" spans="16:17">
      <c r="P126" s="477"/>
      <c r="Q126" s="477"/>
    </row>
    <row r="127" spans="16:17">
      <c r="P127" s="477"/>
      <c r="Q127" s="477"/>
    </row>
    <row r="128" spans="16:17">
      <c r="P128" s="477"/>
      <c r="Q128" s="477"/>
    </row>
    <row r="129" spans="16:17">
      <c r="P129" s="477"/>
      <c r="Q129" s="477"/>
    </row>
    <row r="130" spans="16:17">
      <c r="P130" s="477"/>
      <c r="Q130" s="477"/>
    </row>
    <row r="131" spans="16:17">
      <c r="P131" s="477"/>
      <c r="Q131" s="477"/>
    </row>
    <row r="132" spans="16:17">
      <c r="P132" s="477"/>
      <c r="Q132" s="477"/>
    </row>
    <row r="133" spans="16:17">
      <c r="P133" s="477"/>
      <c r="Q133" s="477"/>
    </row>
    <row r="134" spans="16:17">
      <c r="P134" s="477"/>
      <c r="Q134" s="477"/>
    </row>
    <row r="135" spans="16:17">
      <c r="P135" s="477"/>
      <c r="Q135" s="477"/>
    </row>
    <row r="136" spans="16:17">
      <c r="P136" s="477"/>
      <c r="Q136" s="477"/>
    </row>
    <row r="137" spans="16:17">
      <c r="P137" s="477"/>
      <c r="Q137" s="477"/>
    </row>
    <row r="138" spans="16:17">
      <c r="P138" s="477"/>
      <c r="Q138" s="477"/>
    </row>
    <row r="139" spans="16:17">
      <c r="P139" s="477"/>
      <c r="Q139" s="477"/>
    </row>
    <row r="140" spans="16:17">
      <c r="P140" s="477"/>
      <c r="Q140" s="477"/>
    </row>
    <row r="141" spans="16:17">
      <c r="P141" s="477"/>
      <c r="Q141" s="477"/>
    </row>
    <row r="142" spans="16:17">
      <c r="P142" s="477"/>
      <c r="Q142" s="477"/>
    </row>
    <row r="143" spans="16:17">
      <c r="P143" s="477"/>
      <c r="Q143" s="477"/>
    </row>
    <row r="144" spans="16:17">
      <c r="P144" s="477"/>
      <c r="Q144" s="477"/>
    </row>
    <row r="145" spans="16:17">
      <c r="P145" s="477"/>
      <c r="Q145" s="477"/>
    </row>
    <row r="146" spans="16:17">
      <c r="P146" s="477"/>
      <c r="Q146" s="477"/>
    </row>
    <row r="147" spans="16:17">
      <c r="P147" s="477"/>
      <c r="Q147" s="477"/>
    </row>
    <row r="148" spans="16:17">
      <c r="P148" s="477"/>
      <c r="Q148" s="477"/>
    </row>
    <row r="149" spans="16:17">
      <c r="P149" s="477"/>
      <c r="Q149" s="477"/>
    </row>
    <row r="150" spans="16:17">
      <c r="P150" s="477"/>
      <c r="Q150" s="477"/>
    </row>
    <row r="151" spans="16:17">
      <c r="P151" s="477"/>
      <c r="Q151" s="477"/>
    </row>
    <row r="152" spans="16:17">
      <c r="P152" s="477"/>
      <c r="Q152" s="477"/>
    </row>
    <row r="153" spans="16:17">
      <c r="P153" s="477"/>
      <c r="Q153" s="477"/>
    </row>
    <row r="154" spans="16:17">
      <c r="P154" s="477"/>
      <c r="Q154" s="477"/>
    </row>
    <row r="155" spans="16:17">
      <c r="P155" s="477"/>
      <c r="Q155" s="477"/>
    </row>
    <row r="156" spans="16:17">
      <c r="P156" s="477"/>
      <c r="Q156" s="477"/>
    </row>
    <row r="157" spans="16:17">
      <c r="P157" s="477"/>
      <c r="Q157" s="477"/>
    </row>
    <row r="158" spans="16:17">
      <c r="P158" s="477"/>
      <c r="Q158" s="477"/>
    </row>
    <row r="159" spans="16:17">
      <c r="P159" s="477"/>
      <c r="Q159" s="477"/>
    </row>
    <row r="160" spans="16:17">
      <c r="P160" s="477"/>
      <c r="Q160" s="477"/>
    </row>
    <row r="161" spans="16:17">
      <c r="P161" s="477"/>
      <c r="Q161" s="477"/>
    </row>
    <row r="162" spans="16:17">
      <c r="P162" s="477"/>
      <c r="Q162" s="477"/>
    </row>
    <row r="163" spans="16:17">
      <c r="P163" s="477"/>
      <c r="Q163" s="477"/>
    </row>
    <row r="164" spans="16:17">
      <c r="P164" s="477"/>
      <c r="Q164" s="477"/>
    </row>
    <row r="165" spans="16:17">
      <c r="P165" s="477"/>
      <c r="Q165" s="477"/>
    </row>
    <row r="166" spans="16:17">
      <c r="P166" s="477"/>
      <c r="Q166" s="477"/>
    </row>
    <row r="167" spans="16:17">
      <c r="P167" s="477"/>
      <c r="Q167" s="477"/>
    </row>
    <row r="168" spans="16:17">
      <c r="P168" s="477"/>
      <c r="Q168" s="477"/>
    </row>
    <row r="169" spans="16:17">
      <c r="P169" s="477"/>
      <c r="Q169" s="477"/>
    </row>
    <row r="170" spans="16:17">
      <c r="P170" s="477"/>
      <c r="Q170" s="477"/>
    </row>
    <row r="171" spans="16:17">
      <c r="P171" s="477"/>
      <c r="Q171" s="477"/>
    </row>
    <row r="172" spans="16:17">
      <c r="P172" s="477"/>
      <c r="Q172" s="477"/>
    </row>
    <row r="173" spans="16:17">
      <c r="P173" s="477"/>
      <c r="Q173" s="477"/>
    </row>
    <row r="174" spans="16:17">
      <c r="P174" s="477"/>
      <c r="Q174" s="477"/>
    </row>
    <row r="175" spans="16:17">
      <c r="P175" s="477"/>
      <c r="Q175" s="477"/>
    </row>
    <row r="176" spans="16:17">
      <c r="P176" s="477"/>
      <c r="Q176" s="477"/>
    </row>
    <row r="177" spans="16:17">
      <c r="P177" s="477"/>
      <c r="Q177" s="477"/>
    </row>
    <row r="178" spans="16:17">
      <c r="P178" s="477"/>
      <c r="Q178" s="477"/>
    </row>
    <row r="179" spans="16:17">
      <c r="P179" s="477"/>
      <c r="Q179" s="477"/>
    </row>
    <row r="180" spans="16:17">
      <c r="P180" s="477"/>
      <c r="Q180" s="477"/>
    </row>
    <row r="181" spans="16:17">
      <c r="P181" s="477"/>
      <c r="Q181" s="477"/>
    </row>
    <row r="182" spans="16:17">
      <c r="P182" s="477"/>
      <c r="Q182" s="477"/>
    </row>
    <row r="183" spans="16:17">
      <c r="P183" s="477"/>
      <c r="Q183" s="477"/>
    </row>
    <row r="184" spans="16:17">
      <c r="P184" s="477"/>
      <c r="Q184" s="477"/>
    </row>
    <row r="185" spans="16:17">
      <c r="P185" s="477"/>
      <c r="Q185" s="477"/>
    </row>
    <row r="186" spans="16:17">
      <c r="P186" s="477"/>
      <c r="Q186" s="477"/>
    </row>
    <row r="187" spans="16:17">
      <c r="P187" s="477"/>
      <c r="Q187" s="477"/>
    </row>
    <row r="188" spans="16:17">
      <c r="P188" s="477"/>
      <c r="Q188" s="477"/>
    </row>
    <row r="189" spans="16:17">
      <c r="P189" s="477"/>
      <c r="Q189" s="477"/>
    </row>
    <row r="190" spans="16:17">
      <c r="P190" s="477"/>
      <c r="Q190" s="477"/>
    </row>
    <row r="191" spans="16:17">
      <c r="P191" s="477"/>
      <c r="Q191" s="477"/>
    </row>
    <row r="192" spans="16:17">
      <c r="P192" s="477"/>
      <c r="Q192" s="477"/>
    </row>
    <row r="193" spans="16:17">
      <c r="P193" s="477"/>
      <c r="Q193" s="477"/>
    </row>
  </sheetData>
  <mergeCells count="23">
    <mergeCell ref="A31:E31"/>
    <mergeCell ref="A42:E42"/>
    <mergeCell ref="A1:D1"/>
    <mergeCell ref="A3:E3"/>
    <mergeCell ref="A10:E10"/>
    <mergeCell ref="A16:E16"/>
    <mergeCell ref="A24:E24"/>
    <mergeCell ref="AU1:AW1"/>
    <mergeCell ref="F1:F2"/>
    <mergeCell ref="E1:E2"/>
    <mergeCell ref="H1:H2"/>
    <mergeCell ref="O1:R1"/>
    <mergeCell ref="G1:G2"/>
    <mergeCell ref="AE1:AG1"/>
    <mergeCell ref="AI1:AK1"/>
    <mergeCell ref="AL1:AN1"/>
    <mergeCell ref="AO1:AQ1"/>
    <mergeCell ref="AR1:AT1"/>
    <mergeCell ref="I1:K1"/>
    <mergeCell ref="L1:N1"/>
    <mergeCell ref="S1:U1"/>
    <mergeCell ref="W1:Y1"/>
    <mergeCell ref="AB1:AD1"/>
  </mergeCells>
  <phoneticPr fontId="155" type="noConversion"/>
  <hyperlinks>
    <hyperlink ref="P20" r:id="rId1" xr:uid="{00000000-0004-0000-0300-000000000000}"/>
    <hyperlink ref="I32" r:id="rId2" xr:uid="{00000000-0004-0000-0300-000001000000}"/>
    <hyperlink ref="J32" r:id="rId3" xr:uid="{00000000-0004-0000-03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L248"/>
  <sheetViews>
    <sheetView workbookViewId="0">
      <pane xSplit="4" ySplit="7" topLeftCell="E8" activePane="bottomRight" state="frozen"/>
      <selection pane="topRight"/>
      <selection pane="bottomLeft"/>
      <selection pane="bottomRight" activeCell="E8" sqref="E8"/>
    </sheetView>
  </sheetViews>
  <sheetFormatPr defaultRowHeight="14.25"/>
  <cols>
    <col min="1" max="1" width="6.125" customWidth="1"/>
    <col min="2" max="2" width="8" style="337" customWidth="1"/>
    <col min="3" max="3" width="22" style="337" customWidth="1"/>
    <col min="4" max="4" width="20.375" style="483" customWidth="1"/>
    <col min="5" max="5" width="27.5" customWidth="1"/>
    <col min="6" max="6" width="8.75" style="786" customWidth="1"/>
    <col min="7" max="7" width="13.875" style="787" customWidth="1"/>
    <col min="8" max="8" width="26.5" style="788" hidden="1" customWidth="1"/>
    <col min="9" max="10" width="12.25" style="788" hidden="1" customWidth="1"/>
    <col min="11" max="11" width="12.25" style="789" customWidth="1"/>
    <col min="12" max="12" width="10.625" style="789" customWidth="1"/>
    <col min="13" max="15" width="6.625" style="789" customWidth="1"/>
    <col min="16" max="16" width="10" style="789" customWidth="1"/>
    <col min="17" max="17" width="12.25" style="789" customWidth="1"/>
    <col min="18" max="18" width="10.625" style="788" customWidth="1"/>
    <col min="19" max="21" width="6.625" style="788" customWidth="1"/>
    <col min="22" max="22" width="10.75" style="788" customWidth="1"/>
    <col min="23" max="24" width="12.25" style="788" customWidth="1"/>
    <col min="25" max="31" width="12.25" style="337" customWidth="1"/>
    <col min="32" max="32" width="15" style="337" customWidth="1"/>
    <col min="33" max="34" width="12.25" style="337" customWidth="1"/>
    <col min="35" max="35" width="18.375" style="639" hidden="1" customWidth="1"/>
    <col min="36" max="36" width="7.375" style="639" hidden="1" customWidth="1"/>
    <col min="37" max="38" width="7" style="639" hidden="1" customWidth="1"/>
    <col min="39" max="39" width="7.625" style="639" hidden="1" customWidth="1"/>
    <col min="40" max="40" width="6.875" style="639" hidden="1" customWidth="1"/>
    <col min="41" max="41" width="6.25" style="639" hidden="1" customWidth="1"/>
    <col min="42" max="42" width="8.75" style="639" hidden="1" customWidth="1"/>
    <col min="43" max="43" width="7.25" style="639" hidden="1" customWidth="1"/>
    <col min="44" max="44" width="18.375" style="639" hidden="1" customWidth="1"/>
    <col min="45" max="45" width="7.375" style="639" hidden="1" customWidth="1"/>
    <col min="46" max="47" width="7" style="639" hidden="1" customWidth="1"/>
    <col min="48" max="48" width="7.625" style="639" hidden="1" customWidth="1"/>
    <col min="49" max="49" width="6.875" style="639" hidden="1" customWidth="1"/>
    <col min="50" max="50" width="6.25" style="639" hidden="1" customWidth="1"/>
    <col min="51" max="51" width="8.75" style="639" hidden="1" customWidth="1"/>
    <col min="52" max="52" width="7.25" style="639" hidden="1" customWidth="1"/>
    <col min="53" max="53" width="18.375" style="639" customWidth="1"/>
    <col min="54" max="54" width="7.375" style="639" customWidth="1"/>
    <col min="55" max="56" width="7" style="639" customWidth="1"/>
    <col min="57" max="57" width="7.625" style="639" customWidth="1"/>
    <col min="58" max="58" width="6.875" style="639" customWidth="1"/>
    <col min="59" max="59" width="6.25" style="639" customWidth="1"/>
    <col min="60" max="60" width="8.75" style="639" customWidth="1"/>
    <col min="61" max="61" width="7.25" style="639" customWidth="1"/>
    <col min="62" max="62" width="18.375" style="639" customWidth="1"/>
    <col min="63" max="63" width="7.375" style="639" customWidth="1"/>
    <col min="64" max="65" width="7" style="639" customWidth="1"/>
    <col min="66" max="66" width="7.625" style="639" customWidth="1"/>
    <col min="67" max="67" width="6.875" style="639" customWidth="1"/>
    <col min="68" max="68" width="6.25" style="639" customWidth="1"/>
    <col min="69" max="69" width="8.75" style="639" customWidth="1"/>
    <col min="70" max="70" width="7.25" style="639" customWidth="1"/>
    <col min="71" max="71" width="18.375" style="639" customWidth="1"/>
    <col min="72" max="72" width="7.375" style="639" customWidth="1"/>
    <col min="73" max="74" width="7" style="639" customWidth="1"/>
    <col min="75" max="75" width="7.625" style="639" customWidth="1"/>
    <col min="76" max="76" width="6.875" style="639" customWidth="1"/>
    <col min="77" max="77" width="6.25" style="639" customWidth="1"/>
    <col min="78" max="78" width="8.75" style="639" customWidth="1"/>
    <col min="79" max="79" width="7.25" style="639" customWidth="1"/>
    <col min="80" max="80" width="16.5" style="639" customWidth="1"/>
    <col min="81" max="81" width="13.375" style="639" customWidth="1"/>
    <col min="82" max="82" width="11" style="639" customWidth="1"/>
    <col min="83" max="83" width="8.25" style="639" customWidth="1"/>
    <col min="84" max="84" width="18.375" style="639" customWidth="1"/>
    <col min="85" max="85" width="20.125" style="639" customWidth="1"/>
    <col min="86" max="86" width="12" style="639" customWidth="1"/>
    <col min="87" max="87" width="9.875" style="639" customWidth="1"/>
    <col min="88" max="88" width="11" style="639" customWidth="1"/>
    <col min="89" max="89" width="12.875" style="639" customWidth="1"/>
    <col min="90" max="92" width="11.875" style="639" customWidth="1"/>
    <col min="93" max="109" width="18.375" style="639" customWidth="1"/>
    <col min="110" max="110" width="18.375" style="790" customWidth="1"/>
    <col min="111" max="142" width="18.375" style="639" customWidth="1"/>
  </cols>
  <sheetData>
    <row r="1" spans="1:142">
      <c r="A1" s="478"/>
      <c r="B1" s="479"/>
      <c r="C1" s="479"/>
      <c r="D1" s="478"/>
      <c r="E1" s="480"/>
      <c r="F1" s="478"/>
      <c r="G1" s="481"/>
      <c r="H1" s="481"/>
      <c r="I1" s="481"/>
      <c r="J1" s="481"/>
      <c r="K1" s="482"/>
      <c r="L1" s="482"/>
      <c r="M1" s="482"/>
      <c r="N1" s="482"/>
      <c r="O1" s="482"/>
      <c r="P1" s="482"/>
      <c r="Q1" s="482"/>
      <c r="R1" s="481"/>
      <c r="S1" s="481"/>
      <c r="T1" s="481"/>
      <c r="U1" s="481"/>
      <c r="V1" s="481"/>
      <c r="W1" s="481"/>
      <c r="X1" s="481"/>
      <c r="Y1" s="480"/>
      <c r="Z1" s="480"/>
      <c r="AA1" s="480"/>
      <c r="AB1" s="480"/>
      <c r="AC1" s="480"/>
      <c r="AD1" s="480"/>
      <c r="AE1" s="480"/>
      <c r="AF1" s="480"/>
      <c r="AG1" s="480"/>
      <c r="AH1" s="480"/>
      <c r="AI1" s="483"/>
      <c r="AJ1" s="483"/>
      <c r="AK1" s="483"/>
      <c r="AL1" s="483"/>
      <c r="AM1" s="483"/>
      <c r="AN1" s="483"/>
      <c r="AO1" s="483"/>
      <c r="AP1" s="483"/>
      <c r="AQ1" s="483"/>
      <c r="AR1" s="483"/>
      <c r="AS1" s="483"/>
      <c r="AT1" s="483"/>
      <c r="AU1" s="483"/>
      <c r="AV1" s="483"/>
      <c r="AW1" s="483"/>
      <c r="AX1" s="483"/>
      <c r="AY1" s="483"/>
      <c r="AZ1" s="483"/>
      <c r="BA1" s="483"/>
      <c r="BB1" s="483"/>
      <c r="BC1" s="483"/>
      <c r="BD1" s="483"/>
      <c r="BE1" s="483"/>
      <c r="BF1" s="483"/>
      <c r="BG1" s="483"/>
      <c r="BH1" s="483"/>
      <c r="BI1" s="483"/>
      <c r="BJ1" s="483"/>
      <c r="BK1" s="483"/>
      <c r="BL1" s="483"/>
      <c r="BM1" s="483"/>
      <c r="BN1" s="483"/>
      <c r="BO1" s="483"/>
      <c r="BP1" s="483"/>
      <c r="BQ1" s="483"/>
      <c r="BR1" s="483"/>
      <c r="BS1" s="483"/>
      <c r="BT1" s="483"/>
      <c r="BU1" s="483"/>
      <c r="BV1" s="483"/>
      <c r="BW1" s="483"/>
      <c r="BX1" s="483"/>
      <c r="BY1" s="483"/>
      <c r="BZ1" s="483"/>
      <c r="CA1" s="483"/>
      <c r="CB1" s="483"/>
      <c r="CC1" s="483"/>
      <c r="CD1" s="483"/>
      <c r="CE1" s="483"/>
      <c r="CF1" s="483"/>
      <c r="CG1" s="483"/>
      <c r="CH1" s="483"/>
      <c r="CI1" s="483"/>
      <c r="CJ1" s="483"/>
      <c r="CK1" s="483"/>
      <c r="CL1" s="483"/>
      <c r="CM1" s="483"/>
      <c r="CN1" s="483"/>
      <c r="CO1" s="483"/>
      <c r="CP1" s="483"/>
      <c r="CQ1" s="483"/>
      <c r="CR1" s="483"/>
      <c r="CS1" s="483"/>
      <c r="CT1" s="483"/>
      <c r="CU1" s="483"/>
      <c r="CV1" s="483"/>
      <c r="CW1" s="483"/>
      <c r="CX1" s="483"/>
      <c r="CY1" s="483"/>
      <c r="CZ1" s="483"/>
      <c r="DA1" s="483"/>
      <c r="DB1" s="483"/>
      <c r="DC1" s="483"/>
      <c r="DD1" s="483"/>
      <c r="DE1" s="483"/>
      <c r="DF1" s="484"/>
      <c r="DG1" s="483"/>
      <c r="DH1" s="483"/>
      <c r="DI1" s="483"/>
      <c r="DJ1" s="483"/>
      <c r="DK1" s="483"/>
      <c r="DL1" s="483"/>
      <c r="DM1" s="483"/>
      <c r="DN1" s="483"/>
      <c r="DO1" s="483"/>
      <c r="DP1" s="483"/>
      <c r="DQ1" s="483"/>
      <c r="DR1" s="483"/>
      <c r="DS1" s="483"/>
      <c r="DT1" s="483"/>
      <c r="DU1" s="483"/>
      <c r="DV1" s="483"/>
      <c r="DW1" s="483"/>
      <c r="DX1" s="483"/>
      <c r="DY1" s="483"/>
      <c r="DZ1" s="483"/>
      <c r="EA1" s="483"/>
      <c r="EB1" s="483"/>
      <c r="EC1" s="483"/>
      <c r="ED1" s="483"/>
      <c r="EE1" s="483"/>
      <c r="EF1" s="483"/>
      <c r="EG1" s="483"/>
      <c r="EH1" s="483"/>
      <c r="EI1" s="483"/>
      <c r="EJ1" s="483"/>
      <c r="EK1" s="483"/>
      <c r="EL1" s="483"/>
    </row>
    <row r="2" spans="1:142">
      <c r="A2" s="478"/>
      <c r="B2" s="479"/>
      <c r="C2" s="479"/>
      <c r="D2" s="478"/>
      <c r="E2" s="480"/>
      <c r="F2" s="478"/>
      <c r="G2" s="481"/>
      <c r="H2" s="481"/>
      <c r="I2" s="481"/>
      <c r="J2" s="481"/>
      <c r="K2" s="482"/>
      <c r="L2" s="482"/>
      <c r="M2" s="482"/>
      <c r="N2" s="482"/>
      <c r="O2" s="482"/>
      <c r="P2" s="482"/>
      <c r="Q2" s="482"/>
      <c r="R2" s="481"/>
      <c r="S2" s="481"/>
      <c r="T2" s="481"/>
      <c r="U2" s="481"/>
      <c r="V2" s="481"/>
      <c r="W2" s="481"/>
      <c r="X2" s="481"/>
      <c r="Y2" s="480"/>
      <c r="Z2" s="480"/>
      <c r="AA2" s="480"/>
      <c r="AB2" s="480"/>
      <c r="AC2" s="480"/>
      <c r="AD2" s="480"/>
      <c r="AE2" s="480"/>
      <c r="AF2" s="480"/>
      <c r="AG2" s="480"/>
      <c r="AH2" s="480"/>
      <c r="AI2" s="483"/>
      <c r="AJ2" s="483"/>
      <c r="AK2" s="483"/>
      <c r="AL2" s="483"/>
      <c r="AM2" s="483"/>
      <c r="AN2" s="483"/>
      <c r="AO2" s="483"/>
      <c r="AP2" s="483"/>
      <c r="AQ2" s="483"/>
      <c r="AR2" s="483"/>
      <c r="AS2" s="483"/>
      <c r="AT2" s="483"/>
      <c r="AU2" s="483"/>
      <c r="AV2" s="483"/>
      <c r="AW2" s="483"/>
      <c r="AX2" s="483"/>
      <c r="AY2" s="483"/>
      <c r="AZ2" s="483"/>
      <c r="BA2" s="483"/>
      <c r="BB2" s="483"/>
      <c r="BC2" s="483"/>
      <c r="BD2" s="483"/>
      <c r="BE2" s="483"/>
      <c r="BF2" s="483"/>
      <c r="BG2" s="483"/>
      <c r="BH2" s="483"/>
      <c r="BI2" s="483"/>
      <c r="BJ2" s="483"/>
      <c r="BK2" s="483"/>
      <c r="BL2" s="483"/>
      <c r="BM2" s="483"/>
      <c r="BN2" s="483"/>
      <c r="BO2" s="483"/>
      <c r="BP2" s="483"/>
      <c r="BQ2" s="483"/>
      <c r="BR2" s="483"/>
      <c r="BS2" s="483"/>
      <c r="BT2" s="483"/>
      <c r="BU2" s="483"/>
      <c r="BV2" s="483"/>
      <c r="BW2" s="483"/>
      <c r="BX2" s="483"/>
      <c r="BY2" s="483"/>
      <c r="BZ2" s="483"/>
      <c r="CA2" s="483"/>
      <c r="CB2" s="483"/>
      <c r="CC2" s="483"/>
      <c r="CD2" s="483"/>
      <c r="CE2" s="483"/>
      <c r="CF2" s="483"/>
      <c r="CG2" s="483"/>
      <c r="CH2" s="483"/>
      <c r="CI2" s="483"/>
      <c r="CJ2" s="483"/>
      <c r="CK2" s="483"/>
      <c r="CL2" s="483"/>
      <c r="CM2" s="483"/>
      <c r="CN2" s="483"/>
      <c r="CO2" s="483"/>
      <c r="CP2" s="483"/>
      <c r="CQ2" s="483"/>
      <c r="CR2" s="483"/>
      <c r="CS2" s="483"/>
      <c r="CT2" s="483"/>
      <c r="CU2" s="483"/>
      <c r="CV2" s="483"/>
      <c r="CW2" s="483"/>
      <c r="CX2" s="483"/>
      <c r="CY2" s="483"/>
      <c r="CZ2" s="483"/>
      <c r="DA2" s="483"/>
      <c r="DB2" s="483"/>
      <c r="DC2" s="483"/>
      <c r="DD2" s="483"/>
      <c r="DE2" s="483"/>
      <c r="DF2" s="484"/>
      <c r="DG2" s="483"/>
      <c r="DH2" s="483"/>
      <c r="DI2" s="483"/>
      <c r="DJ2" s="483"/>
      <c r="DK2" s="483"/>
      <c r="DL2" s="483"/>
      <c r="DM2" s="483"/>
      <c r="DN2" s="483"/>
      <c r="DO2" s="483"/>
      <c r="DP2" s="483"/>
      <c r="DQ2" s="483"/>
      <c r="DR2" s="483"/>
      <c r="DS2" s="483"/>
      <c r="DT2" s="483"/>
      <c r="DU2" s="483"/>
      <c r="DV2" s="483"/>
      <c r="DW2" s="483"/>
      <c r="DX2" s="483"/>
      <c r="DY2" s="483"/>
      <c r="DZ2" s="483"/>
      <c r="EA2" s="483"/>
      <c r="EB2" s="483"/>
      <c r="EC2" s="483"/>
      <c r="ED2" s="483"/>
      <c r="EE2" s="483"/>
      <c r="EF2" s="483"/>
      <c r="EG2" s="483"/>
      <c r="EH2" s="483"/>
      <c r="EI2" s="483"/>
      <c r="EJ2" s="483"/>
      <c r="EK2" s="483"/>
      <c r="EL2" s="483"/>
    </row>
    <row r="3" spans="1:142">
      <c r="A3" s="478"/>
      <c r="B3" s="479"/>
      <c r="C3" s="479"/>
      <c r="D3" s="478"/>
      <c r="E3" s="480"/>
      <c r="F3" s="478"/>
      <c r="G3" s="481"/>
      <c r="H3" s="481"/>
      <c r="I3" s="481"/>
      <c r="J3" s="485"/>
      <c r="K3" s="482"/>
      <c r="L3" s="482"/>
      <c r="M3" s="482"/>
      <c r="N3" s="482"/>
      <c r="O3" s="482"/>
      <c r="P3" s="482"/>
      <c r="Q3" s="482"/>
      <c r="R3" s="485"/>
      <c r="S3" s="485"/>
      <c r="T3" s="485"/>
      <c r="U3" s="485"/>
      <c r="V3" s="485"/>
      <c r="W3" s="485" t="s">
        <v>870</v>
      </c>
      <c r="X3" s="485"/>
      <c r="Y3" s="486"/>
      <c r="Z3" s="486"/>
      <c r="AA3" s="486"/>
      <c r="AB3" s="486"/>
      <c r="AC3" s="486"/>
      <c r="AD3" s="486"/>
      <c r="AE3" s="486"/>
      <c r="AF3" s="486"/>
      <c r="AG3" s="486"/>
      <c r="AH3" s="486"/>
      <c r="AI3" s="483"/>
      <c r="AJ3" s="483"/>
      <c r="AK3" s="483"/>
      <c r="AL3" s="483"/>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4"/>
      <c r="DG3" s="483"/>
      <c r="DH3" s="483"/>
      <c r="DI3" s="483"/>
      <c r="DJ3" s="483"/>
      <c r="DK3" s="483"/>
      <c r="DL3" s="483"/>
      <c r="DM3" s="483"/>
      <c r="DN3" s="483"/>
      <c r="DO3" s="483"/>
      <c r="DP3" s="483"/>
      <c r="DQ3" s="483"/>
      <c r="DR3" s="483"/>
      <c r="DS3" s="483"/>
      <c r="DT3" s="483"/>
      <c r="DU3" s="483"/>
      <c r="DV3" s="483"/>
      <c r="DW3" s="483"/>
      <c r="DX3" s="483"/>
      <c r="DY3" s="483"/>
      <c r="DZ3" s="483"/>
      <c r="EA3" s="483"/>
      <c r="EB3" s="483"/>
      <c r="EC3" s="483"/>
      <c r="ED3" s="483"/>
      <c r="EE3" s="483"/>
      <c r="EF3" s="483"/>
      <c r="EG3" s="483"/>
      <c r="EH3" s="483"/>
      <c r="EI3" s="483"/>
      <c r="EJ3" s="483"/>
      <c r="EK3" s="483"/>
      <c r="EL3" s="483"/>
    </row>
    <row r="4" spans="1:142" s="775" customFormat="1" ht="20.25">
      <c r="A4" s="879" t="s">
        <v>871</v>
      </c>
      <c r="B4" s="807"/>
      <c r="C4" s="807"/>
      <c r="D4" s="807"/>
      <c r="E4" s="807"/>
      <c r="F4" s="807"/>
      <c r="G4" s="807"/>
      <c r="H4" s="807"/>
      <c r="I4" s="807"/>
      <c r="J4" s="807"/>
      <c r="K4" s="807"/>
      <c r="L4" s="807"/>
      <c r="M4" s="807"/>
      <c r="N4" s="807"/>
      <c r="O4" s="807"/>
      <c r="P4" s="807"/>
      <c r="Q4" s="807"/>
      <c r="R4" s="807"/>
      <c r="S4" s="807"/>
      <c r="T4" s="807"/>
      <c r="U4" s="807"/>
      <c r="V4" s="807"/>
      <c r="W4" s="807"/>
      <c r="X4" s="807"/>
      <c r="Y4" s="807"/>
      <c r="Z4" s="807"/>
      <c r="AA4" s="807"/>
      <c r="AB4" s="807"/>
      <c r="AC4" s="807"/>
      <c r="AD4" s="807"/>
      <c r="AE4" s="807"/>
      <c r="AF4" s="807"/>
      <c r="AG4" s="807"/>
      <c r="AH4" s="807"/>
      <c r="AI4" s="845">
        <v>46023</v>
      </c>
      <c r="AJ4" s="814"/>
      <c r="AK4" s="813"/>
      <c r="AL4" s="813"/>
      <c r="AM4" s="807"/>
      <c r="AN4" s="814"/>
      <c r="AO4" s="814"/>
      <c r="AP4" s="814"/>
      <c r="AQ4" s="807"/>
      <c r="AR4" s="845">
        <v>46054</v>
      </c>
      <c r="AS4" s="814"/>
      <c r="AT4" s="813"/>
      <c r="AU4" s="813"/>
      <c r="AV4" s="807"/>
      <c r="AW4" s="814"/>
      <c r="AX4" s="814"/>
      <c r="AY4" s="814"/>
      <c r="AZ4" s="807"/>
      <c r="BA4" s="845">
        <v>46082</v>
      </c>
      <c r="BB4" s="814"/>
      <c r="BC4" s="813"/>
      <c r="BD4" s="813"/>
      <c r="BE4" s="807"/>
      <c r="BF4" s="814"/>
      <c r="BG4" s="814"/>
      <c r="BH4" s="814"/>
      <c r="BI4" s="807"/>
      <c r="BJ4" s="845">
        <v>46113</v>
      </c>
      <c r="BK4" s="814"/>
      <c r="BL4" s="813"/>
      <c r="BM4" s="813"/>
      <c r="BN4" s="807"/>
      <c r="BO4" s="814"/>
      <c r="BP4" s="814"/>
      <c r="BQ4" s="814"/>
      <c r="BR4" s="807"/>
      <c r="BS4" s="845">
        <v>46143</v>
      </c>
      <c r="BT4" s="846"/>
      <c r="BU4" s="847"/>
      <c r="BV4" s="847"/>
      <c r="BW4" s="807"/>
      <c r="BX4" s="846"/>
      <c r="BY4" s="846"/>
      <c r="BZ4" s="846"/>
      <c r="CA4" s="807"/>
      <c r="CB4" s="845">
        <v>46174</v>
      </c>
      <c r="CC4" s="807"/>
      <c r="CD4" s="807"/>
      <c r="CE4" s="807"/>
      <c r="CF4" s="807"/>
      <c r="CG4" s="807"/>
      <c r="CH4" s="807"/>
      <c r="CI4" s="807"/>
      <c r="CJ4" s="807"/>
      <c r="CK4" s="877">
        <v>46204</v>
      </c>
      <c r="CL4" s="846"/>
      <c r="CM4" s="846"/>
      <c r="CN4" s="846"/>
      <c r="CO4" s="807"/>
      <c r="CP4" s="846"/>
      <c r="CQ4" s="846"/>
      <c r="CR4" s="846"/>
      <c r="CS4" s="846"/>
      <c r="CT4" s="845">
        <v>46235</v>
      </c>
      <c r="CU4" s="846"/>
      <c r="CV4" s="846"/>
      <c r="CW4" s="846"/>
      <c r="CX4" s="807"/>
      <c r="CY4" s="846"/>
      <c r="CZ4" s="846"/>
      <c r="DA4" s="846"/>
      <c r="DB4" s="807"/>
      <c r="DC4" s="845">
        <v>46266</v>
      </c>
      <c r="DD4" s="846"/>
      <c r="DE4" s="846"/>
      <c r="DF4" s="846"/>
      <c r="DG4" s="807"/>
      <c r="DH4" s="846"/>
      <c r="DI4" s="846"/>
      <c r="DJ4" s="846"/>
      <c r="DK4" s="807"/>
      <c r="DL4" s="845">
        <v>46296</v>
      </c>
      <c r="DM4" s="846"/>
      <c r="DN4" s="846"/>
      <c r="DO4" s="846"/>
      <c r="DP4" s="807"/>
      <c r="DQ4" s="846"/>
      <c r="DR4" s="846"/>
      <c r="DS4" s="846"/>
      <c r="DT4" s="807"/>
      <c r="DU4" s="845">
        <v>46327</v>
      </c>
      <c r="DV4" s="846"/>
      <c r="DW4" s="846"/>
      <c r="DX4" s="846"/>
      <c r="DY4" s="807"/>
      <c r="DZ4" s="846"/>
      <c r="EA4" s="846"/>
      <c r="EB4" s="846"/>
      <c r="EC4" s="807"/>
      <c r="ED4" s="845">
        <v>46357</v>
      </c>
      <c r="EE4" s="846"/>
      <c r="EF4" s="846"/>
      <c r="EG4" s="846"/>
      <c r="EH4" s="807"/>
      <c r="EI4" s="846"/>
      <c r="EJ4" s="846"/>
      <c r="EK4" s="846"/>
      <c r="EL4" s="807"/>
    </row>
    <row r="5" spans="1:142" s="776" customFormat="1" ht="16.5" customHeight="1">
      <c r="A5" s="885" t="s">
        <v>0</v>
      </c>
      <c r="B5" s="882" t="s">
        <v>872</v>
      </c>
      <c r="C5" s="882" t="s">
        <v>2</v>
      </c>
      <c r="D5" s="880" t="s">
        <v>3</v>
      </c>
      <c r="E5" s="880" t="s">
        <v>4</v>
      </c>
      <c r="F5" s="880" t="s">
        <v>744</v>
      </c>
      <c r="G5" s="878" t="s">
        <v>873</v>
      </c>
      <c r="H5" s="807"/>
      <c r="I5" s="807"/>
      <c r="J5" s="807"/>
      <c r="K5" s="807"/>
      <c r="L5" s="807"/>
      <c r="M5" s="807"/>
      <c r="N5" s="807"/>
      <c r="O5" s="807"/>
      <c r="P5" s="807"/>
      <c r="Q5" s="807"/>
      <c r="R5" s="807"/>
      <c r="S5" s="807"/>
      <c r="T5" s="807"/>
      <c r="U5" s="807"/>
      <c r="V5" s="807"/>
      <c r="W5" s="807"/>
      <c r="X5" s="853" t="s">
        <v>747</v>
      </c>
      <c r="Y5" s="807"/>
      <c r="Z5" s="807"/>
      <c r="AA5" s="807"/>
      <c r="AB5" s="807"/>
      <c r="AC5" s="807"/>
      <c r="AD5" s="807"/>
      <c r="AE5" s="852" t="s">
        <v>874</v>
      </c>
      <c r="AF5" s="807"/>
      <c r="AG5" s="807"/>
      <c r="AH5" s="807"/>
      <c r="AI5" s="864" t="s">
        <v>746</v>
      </c>
      <c r="AJ5" s="807"/>
      <c r="AK5" s="807"/>
      <c r="AL5" s="807"/>
      <c r="AM5" s="865" t="s">
        <v>747</v>
      </c>
      <c r="AN5" s="807"/>
      <c r="AO5" s="807"/>
      <c r="AP5" s="807"/>
      <c r="AQ5" s="864" t="s">
        <v>748</v>
      </c>
      <c r="AR5" s="864" t="s">
        <v>746</v>
      </c>
      <c r="AS5" s="807"/>
      <c r="AT5" s="807"/>
      <c r="AU5" s="807"/>
      <c r="AV5" s="865" t="s">
        <v>747</v>
      </c>
      <c r="AW5" s="807"/>
      <c r="AX5" s="807"/>
      <c r="AY5" s="807"/>
      <c r="AZ5" s="864" t="s">
        <v>748</v>
      </c>
      <c r="BA5" s="864" t="s">
        <v>746</v>
      </c>
      <c r="BB5" s="807"/>
      <c r="BC5" s="807"/>
      <c r="BD5" s="807"/>
      <c r="BE5" s="865" t="s">
        <v>747</v>
      </c>
      <c r="BF5" s="807"/>
      <c r="BG5" s="807"/>
      <c r="BH5" s="807"/>
      <c r="BI5" s="864" t="s">
        <v>748</v>
      </c>
      <c r="BJ5" s="864" t="s">
        <v>746</v>
      </c>
      <c r="BK5" s="807"/>
      <c r="BL5" s="807"/>
      <c r="BM5" s="807"/>
      <c r="BN5" s="865" t="s">
        <v>747</v>
      </c>
      <c r="BO5" s="807"/>
      <c r="BP5" s="807"/>
      <c r="BQ5" s="807"/>
      <c r="BR5" s="864" t="s">
        <v>748</v>
      </c>
      <c r="BS5" s="864" t="s">
        <v>746</v>
      </c>
      <c r="BT5" s="807"/>
      <c r="BU5" s="807"/>
      <c r="BV5" s="807"/>
      <c r="BW5" s="865" t="s">
        <v>747</v>
      </c>
      <c r="BX5" s="807"/>
      <c r="BY5" s="807"/>
      <c r="BZ5" s="807"/>
      <c r="CA5" s="864" t="s">
        <v>748</v>
      </c>
      <c r="CB5" s="864" t="s">
        <v>746</v>
      </c>
      <c r="CC5" s="807"/>
      <c r="CD5" s="807"/>
      <c r="CE5" s="807"/>
      <c r="CF5" s="865" t="s">
        <v>747</v>
      </c>
      <c r="CG5" s="875"/>
      <c r="CH5" s="807"/>
      <c r="CI5" s="807"/>
      <c r="CJ5" s="864" t="s">
        <v>748</v>
      </c>
      <c r="CK5" s="864" t="s">
        <v>746</v>
      </c>
      <c r="CL5" s="807"/>
      <c r="CM5" s="807"/>
      <c r="CN5" s="807"/>
      <c r="CO5" s="865" t="s">
        <v>747</v>
      </c>
      <c r="CP5" s="807"/>
      <c r="CQ5" s="807"/>
      <c r="CR5" s="807"/>
      <c r="CS5" s="864" t="s">
        <v>748</v>
      </c>
      <c r="CT5" s="864" t="s">
        <v>746</v>
      </c>
      <c r="CU5" s="875"/>
      <c r="CV5" s="875"/>
      <c r="CW5" s="875"/>
      <c r="CX5" s="865" t="s">
        <v>747</v>
      </c>
      <c r="CY5" s="875"/>
      <c r="CZ5" s="875"/>
      <c r="DA5" s="875"/>
      <c r="DB5" s="864" t="s">
        <v>748</v>
      </c>
      <c r="DC5" s="864" t="s">
        <v>746</v>
      </c>
      <c r="DD5" s="875"/>
      <c r="DE5" s="875"/>
      <c r="DF5" s="875"/>
      <c r="DG5" s="865" t="s">
        <v>747</v>
      </c>
      <c r="DH5" s="875"/>
      <c r="DI5" s="875"/>
      <c r="DJ5" s="875"/>
      <c r="DK5" s="864" t="s">
        <v>748</v>
      </c>
      <c r="DL5" s="864" t="s">
        <v>746</v>
      </c>
      <c r="DM5" s="875"/>
      <c r="DN5" s="875"/>
      <c r="DO5" s="875"/>
      <c r="DP5" s="865" t="s">
        <v>747</v>
      </c>
      <c r="DQ5" s="875"/>
      <c r="DR5" s="875"/>
      <c r="DS5" s="875"/>
      <c r="DT5" s="864" t="s">
        <v>748</v>
      </c>
      <c r="DU5" s="864" t="s">
        <v>746</v>
      </c>
      <c r="DV5" s="875"/>
      <c r="DW5" s="875"/>
      <c r="DX5" s="875"/>
      <c r="DY5" s="865" t="s">
        <v>747</v>
      </c>
      <c r="DZ5" s="875"/>
      <c r="EA5" s="875"/>
      <c r="EB5" s="875"/>
      <c r="EC5" s="864" t="s">
        <v>748</v>
      </c>
      <c r="ED5" s="864" t="s">
        <v>746</v>
      </c>
      <c r="EE5" s="875"/>
      <c r="EF5" s="875"/>
      <c r="EG5" s="875"/>
      <c r="EH5" s="865" t="s">
        <v>747</v>
      </c>
      <c r="EI5" s="875"/>
      <c r="EJ5" s="875"/>
      <c r="EK5" s="875"/>
      <c r="EL5" s="864" t="s">
        <v>748</v>
      </c>
    </row>
    <row r="6" spans="1:142" s="777" customFormat="1" ht="21" customHeight="1">
      <c r="A6" s="881"/>
      <c r="B6" s="881"/>
      <c r="C6" s="881"/>
      <c r="D6" s="881"/>
      <c r="E6" s="881"/>
      <c r="F6" s="820"/>
      <c r="G6" s="868" t="s">
        <v>1692</v>
      </c>
      <c r="H6" s="487" t="s">
        <v>875</v>
      </c>
      <c r="I6" s="488" t="s">
        <v>876</v>
      </c>
      <c r="J6" s="488" t="s">
        <v>877</v>
      </c>
      <c r="K6" s="866" t="s">
        <v>878</v>
      </c>
      <c r="L6" s="807"/>
      <c r="M6" s="807"/>
      <c r="N6" s="807"/>
      <c r="O6" s="807"/>
      <c r="P6" s="807"/>
      <c r="Q6" s="866" t="s">
        <v>879</v>
      </c>
      <c r="R6" s="807"/>
      <c r="S6" s="807"/>
      <c r="T6" s="807"/>
      <c r="U6" s="807"/>
      <c r="V6" s="807"/>
      <c r="W6" s="866" t="s">
        <v>880</v>
      </c>
      <c r="X6" s="869" t="s">
        <v>1693</v>
      </c>
      <c r="Y6" s="870" t="s">
        <v>881</v>
      </c>
      <c r="Z6" s="870" t="s">
        <v>882</v>
      </c>
      <c r="AA6" s="870" t="s">
        <v>883</v>
      </c>
      <c r="AB6" s="871" t="s">
        <v>884</v>
      </c>
      <c r="AC6" s="871" t="s">
        <v>885</v>
      </c>
      <c r="AD6" s="871" t="s">
        <v>886</v>
      </c>
      <c r="AE6" s="870" t="s">
        <v>887</v>
      </c>
      <c r="AF6" s="870" t="s">
        <v>888</v>
      </c>
      <c r="AG6" s="870" t="s">
        <v>889</v>
      </c>
      <c r="AH6" s="870" t="s">
        <v>890</v>
      </c>
      <c r="AI6" s="872" t="s">
        <v>891</v>
      </c>
      <c r="AJ6" s="872" t="s">
        <v>892</v>
      </c>
      <c r="AK6" s="872" t="s">
        <v>893</v>
      </c>
      <c r="AL6" s="872" t="s">
        <v>894</v>
      </c>
      <c r="AM6" s="873" t="s">
        <v>895</v>
      </c>
      <c r="AN6" s="873" t="s">
        <v>896</v>
      </c>
      <c r="AO6" s="873" t="s">
        <v>897</v>
      </c>
      <c r="AP6" s="873" t="s">
        <v>898</v>
      </c>
      <c r="AQ6" s="807"/>
      <c r="AR6" s="872" t="s">
        <v>891</v>
      </c>
      <c r="AS6" s="872" t="s">
        <v>892</v>
      </c>
      <c r="AT6" s="872" t="s">
        <v>893</v>
      </c>
      <c r="AU6" s="872" t="s">
        <v>894</v>
      </c>
      <c r="AV6" s="873" t="s">
        <v>895</v>
      </c>
      <c r="AW6" s="873" t="s">
        <v>896</v>
      </c>
      <c r="AX6" s="873" t="s">
        <v>897</v>
      </c>
      <c r="AY6" s="873" t="s">
        <v>898</v>
      </c>
      <c r="AZ6" s="807"/>
      <c r="BA6" s="872" t="s">
        <v>891</v>
      </c>
      <c r="BB6" s="872" t="s">
        <v>892</v>
      </c>
      <c r="BC6" s="872" t="s">
        <v>893</v>
      </c>
      <c r="BD6" s="872" t="s">
        <v>894</v>
      </c>
      <c r="BE6" s="873" t="s">
        <v>895</v>
      </c>
      <c r="BF6" s="873" t="s">
        <v>896</v>
      </c>
      <c r="BG6" s="873" t="s">
        <v>897</v>
      </c>
      <c r="BH6" s="873" t="s">
        <v>898</v>
      </c>
      <c r="BI6" s="807"/>
      <c r="BJ6" s="872" t="s">
        <v>891</v>
      </c>
      <c r="BK6" s="872" t="s">
        <v>892</v>
      </c>
      <c r="BL6" s="872" t="s">
        <v>893</v>
      </c>
      <c r="BM6" s="872" t="s">
        <v>894</v>
      </c>
      <c r="BN6" s="873" t="s">
        <v>895</v>
      </c>
      <c r="BO6" s="873" t="s">
        <v>896</v>
      </c>
      <c r="BP6" s="873" t="s">
        <v>897</v>
      </c>
      <c r="BQ6" s="873" t="s">
        <v>898</v>
      </c>
      <c r="BR6" s="807"/>
      <c r="BS6" s="872" t="s">
        <v>891</v>
      </c>
      <c r="BT6" s="872" t="s">
        <v>892</v>
      </c>
      <c r="BU6" s="872" t="s">
        <v>893</v>
      </c>
      <c r="BV6" s="872" t="s">
        <v>894</v>
      </c>
      <c r="BW6" s="873" t="s">
        <v>895</v>
      </c>
      <c r="BX6" s="873" t="s">
        <v>896</v>
      </c>
      <c r="BY6" s="873" t="s">
        <v>897</v>
      </c>
      <c r="BZ6" s="873" t="s">
        <v>898</v>
      </c>
      <c r="CA6" s="807"/>
      <c r="CB6" s="872" t="s">
        <v>891</v>
      </c>
      <c r="CC6" s="872" t="s">
        <v>892</v>
      </c>
      <c r="CD6" s="872" t="s">
        <v>893</v>
      </c>
      <c r="CE6" s="872" t="s">
        <v>894</v>
      </c>
      <c r="CF6" s="873" t="s">
        <v>895</v>
      </c>
      <c r="CG6" s="873" t="s">
        <v>896</v>
      </c>
      <c r="CH6" s="873" t="s">
        <v>897</v>
      </c>
      <c r="CI6" s="873" t="s">
        <v>898</v>
      </c>
      <c r="CJ6" s="875"/>
      <c r="CK6" s="876" t="s">
        <v>891</v>
      </c>
      <c r="CL6" s="872" t="s">
        <v>892</v>
      </c>
      <c r="CM6" s="872" t="s">
        <v>893</v>
      </c>
      <c r="CN6" s="872" t="s">
        <v>894</v>
      </c>
      <c r="CO6" s="873" t="s">
        <v>895</v>
      </c>
      <c r="CP6" s="873" t="s">
        <v>896</v>
      </c>
      <c r="CQ6" s="873" t="s">
        <v>897</v>
      </c>
      <c r="CR6" s="873" t="s">
        <v>898</v>
      </c>
      <c r="CS6" s="875"/>
      <c r="CT6" s="872" t="s">
        <v>891</v>
      </c>
      <c r="CU6" s="872" t="s">
        <v>892</v>
      </c>
      <c r="CV6" s="872" t="s">
        <v>893</v>
      </c>
      <c r="CW6" s="872" t="s">
        <v>894</v>
      </c>
      <c r="CX6" s="873" t="s">
        <v>895</v>
      </c>
      <c r="CY6" s="873" t="s">
        <v>896</v>
      </c>
      <c r="CZ6" s="873" t="s">
        <v>897</v>
      </c>
      <c r="DA6" s="873" t="s">
        <v>898</v>
      </c>
      <c r="DB6" s="807"/>
      <c r="DC6" s="872" t="s">
        <v>891</v>
      </c>
      <c r="DD6" s="872" t="s">
        <v>892</v>
      </c>
      <c r="DE6" s="872" t="s">
        <v>893</v>
      </c>
      <c r="DF6" s="872" t="s">
        <v>894</v>
      </c>
      <c r="DG6" s="873" t="s">
        <v>895</v>
      </c>
      <c r="DH6" s="873" t="s">
        <v>896</v>
      </c>
      <c r="DI6" s="873" t="s">
        <v>897</v>
      </c>
      <c r="DJ6" s="873" t="s">
        <v>898</v>
      </c>
      <c r="DK6" s="807"/>
      <c r="DL6" s="872" t="s">
        <v>891</v>
      </c>
      <c r="DM6" s="872" t="s">
        <v>892</v>
      </c>
      <c r="DN6" s="872" t="s">
        <v>893</v>
      </c>
      <c r="DO6" s="872" t="s">
        <v>894</v>
      </c>
      <c r="DP6" s="873" t="s">
        <v>895</v>
      </c>
      <c r="DQ6" s="873" t="s">
        <v>896</v>
      </c>
      <c r="DR6" s="873" t="s">
        <v>897</v>
      </c>
      <c r="DS6" s="873" t="s">
        <v>898</v>
      </c>
      <c r="DT6" s="807"/>
      <c r="DU6" s="872" t="s">
        <v>891</v>
      </c>
      <c r="DV6" s="872" t="s">
        <v>892</v>
      </c>
      <c r="DW6" s="872" t="s">
        <v>893</v>
      </c>
      <c r="DX6" s="872" t="s">
        <v>894</v>
      </c>
      <c r="DY6" s="873" t="s">
        <v>895</v>
      </c>
      <c r="DZ6" s="873" t="s">
        <v>896</v>
      </c>
      <c r="EA6" s="873" t="s">
        <v>897</v>
      </c>
      <c r="EB6" s="873" t="s">
        <v>898</v>
      </c>
      <c r="EC6" s="807"/>
      <c r="ED6" s="872" t="s">
        <v>891</v>
      </c>
      <c r="EE6" s="872" t="s">
        <v>892</v>
      </c>
      <c r="EF6" s="872" t="s">
        <v>893</v>
      </c>
      <c r="EG6" s="872" t="s">
        <v>894</v>
      </c>
      <c r="EH6" s="873" t="s">
        <v>895</v>
      </c>
      <c r="EI6" s="873" t="s">
        <v>896</v>
      </c>
      <c r="EJ6" s="873" t="s">
        <v>897</v>
      </c>
      <c r="EK6" s="873" t="s">
        <v>898</v>
      </c>
      <c r="EL6" s="807"/>
    </row>
    <row r="7" spans="1:142" s="778" customFormat="1" ht="45.75" customHeight="1">
      <c r="A7" s="820"/>
      <c r="B7" s="820"/>
      <c r="C7" s="820"/>
      <c r="D7" s="820"/>
      <c r="E7" s="820"/>
      <c r="F7" s="886"/>
      <c r="G7" s="807"/>
      <c r="H7" s="490"/>
      <c r="I7" s="490"/>
      <c r="J7" s="490"/>
      <c r="K7" s="491" t="s">
        <v>878</v>
      </c>
      <c r="L7" s="492" t="s">
        <v>899</v>
      </c>
      <c r="M7" s="492" t="s">
        <v>900</v>
      </c>
      <c r="N7" s="492" t="s">
        <v>901</v>
      </c>
      <c r="O7" s="492" t="s">
        <v>902</v>
      </c>
      <c r="P7" s="492" t="s">
        <v>903</v>
      </c>
      <c r="Q7" s="492" t="s">
        <v>879</v>
      </c>
      <c r="R7" s="492" t="s">
        <v>904</v>
      </c>
      <c r="S7" s="492" t="s">
        <v>905</v>
      </c>
      <c r="T7" s="492" t="s">
        <v>906</v>
      </c>
      <c r="U7" s="492" t="s">
        <v>907</v>
      </c>
      <c r="V7" s="492" t="s">
        <v>908</v>
      </c>
      <c r="W7" s="807"/>
      <c r="X7" s="807"/>
      <c r="Y7" s="807"/>
      <c r="Z7" s="807"/>
      <c r="AA7" s="807"/>
      <c r="AB7" s="807"/>
      <c r="AC7" s="807"/>
      <c r="AD7" s="807"/>
      <c r="AE7" s="807"/>
      <c r="AF7" s="807"/>
      <c r="AG7" s="807"/>
      <c r="AH7" s="807"/>
      <c r="AI7" s="807"/>
      <c r="AJ7" s="807"/>
      <c r="AK7" s="807"/>
      <c r="AL7" s="807"/>
      <c r="AM7" s="807"/>
      <c r="AN7" s="807"/>
      <c r="AO7" s="807"/>
      <c r="AP7" s="807"/>
      <c r="AQ7" s="807"/>
      <c r="AR7" s="874"/>
      <c r="AS7" s="874"/>
      <c r="AT7" s="874"/>
      <c r="AU7" s="874"/>
      <c r="AV7" s="874"/>
      <c r="AW7" s="874"/>
      <c r="AX7" s="874"/>
      <c r="AY7" s="874"/>
      <c r="AZ7" s="874"/>
      <c r="BA7" s="874"/>
      <c r="BB7" s="874"/>
      <c r="BC7" s="874"/>
      <c r="BD7" s="874"/>
      <c r="BE7" s="874"/>
      <c r="BF7" s="874"/>
      <c r="BG7" s="874"/>
      <c r="BH7" s="874"/>
      <c r="BI7" s="874"/>
      <c r="BJ7" s="874"/>
      <c r="BK7" s="874"/>
      <c r="BL7" s="874"/>
      <c r="BM7" s="874"/>
      <c r="BN7" s="874"/>
      <c r="BO7" s="874"/>
      <c r="BP7" s="874"/>
      <c r="BQ7" s="874"/>
      <c r="BR7" s="874"/>
      <c r="BS7" s="874"/>
      <c r="BT7" s="874"/>
      <c r="BU7" s="874"/>
      <c r="BV7" s="874"/>
      <c r="BW7" s="874"/>
      <c r="BX7" s="874"/>
      <c r="BY7" s="874"/>
      <c r="BZ7" s="874"/>
      <c r="CA7" s="874"/>
      <c r="CB7" s="874"/>
      <c r="CC7" s="874"/>
      <c r="CD7" s="874"/>
      <c r="CE7" s="874"/>
      <c r="CF7" s="874"/>
      <c r="CG7" s="874"/>
      <c r="CH7" s="874"/>
      <c r="CI7" s="874"/>
      <c r="CJ7" s="874"/>
      <c r="CK7" s="874"/>
      <c r="CL7" s="874"/>
      <c r="CM7" s="874"/>
      <c r="CN7" s="874"/>
      <c r="CO7" s="874"/>
      <c r="CP7" s="874"/>
      <c r="CQ7" s="874"/>
      <c r="CR7" s="874"/>
      <c r="CS7" s="874"/>
      <c r="CT7" s="874"/>
      <c r="CU7" s="874"/>
      <c r="CV7" s="874"/>
      <c r="CW7" s="874"/>
      <c r="CX7" s="874"/>
      <c r="CY7" s="874"/>
      <c r="CZ7" s="874"/>
      <c r="DA7" s="874"/>
      <c r="DB7" s="874"/>
      <c r="DC7" s="874"/>
      <c r="DD7" s="874"/>
      <c r="DE7" s="874"/>
      <c r="DF7" s="874"/>
      <c r="DG7" s="874"/>
      <c r="DH7" s="874"/>
      <c r="DI7" s="874"/>
      <c r="DJ7" s="874"/>
      <c r="DK7" s="874"/>
      <c r="DL7" s="874"/>
      <c r="DM7" s="874"/>
      <c r="DN7" s="874"/>
      <c r="DO7" s="874"/>
      <c r="DP7" s="874"/>
      <c r="DQ7" s="874"/>
      <c r="DR7" s="874"/>
      <c r="DS7" s="874"/>
      <c r="DT7" s="874"/>
      <c r="DU7" s="874"/>
      <c r="DV7" s="874"/>
      <c r="DW7" s="874"/>
      <c r="DX7" s="874"/>
      <c r="DY7" s="874"/>
      <c r="DZ7" s="874"/>
      <c r="EA7" s="874"/>
      <c r="EB7" s="874"/>
      <c r="EC7" s="874"/>
      <c r="ED7" s="874"/>
      <c r="EE7" s="874"/>
      <c r="EF7" s="874"/>
      <c r="EG7" s="874"/>
      <c r="EH7" s="874"/>
      <c r="EI7" s="874"/>
      <c r="EJ7" s="874"/>
      <c r="EK7" s="874"/>
      <c r="EL7" s="874"/>
    </row>
    <row r="8" spans="1:142" s="779" customFormat="1" ht="30" customHeight="1">
      <c r="A8" s="493" t="s">
        <v>909</v>
      </c>
      <c r="B8" s="494"/>
      <c r="C8" s="494" t="s">
        <v>910</v>
      </c>
      <c r="D8" s="495"/>
      <c r="E8" s="495"/>
      <c r="F8" s="489" t="s">
        <v>911</v>
      </c>
      <c r="G8" s="495"/>
      <c r="H8" s="495"/>
      <c r="I8" s="496"/>
      <c r="J8" s="496"/>
      <c r="K8" s="496"/>
      <c r="L8" s="496"/>
      <c r="M8" s="496"/>
      <c r="N8" s="496"/>
      <c r="O8" s="496"/>
      <c r="P8" s="496"/>
      <c r="Q8" s="496"/>
      <c r="R8" s="496"/>
      <c r="S8" s="496"/>
      <c r="T8" s="496"/>
      <c r="U8" s="496"/>
      <c r="V8" s="496"/>
      <c r="W8" s="496"/>
      <c r="X8" s="494"/>
      <c r="Y8" s="494"/>
      <c r="Z8" s="494"/>
      <c r="AA8" s="494"/>
      <c r="AB8" s="494"/>
      <c r="AC8" s="494"/>
      <c r="AD8" s="494"/>
      <c r="AE8" s="494"/>
      <c r="AF8" s="494"/>
      <c r="AG8" s="494"/>
      <c r="AH8" s="494"/>
      <c r="AI8" s="497"/>
      <c r="AJ8" s="497"/>
      <c r="AK8" s="497"/>
      <c r="AL8" s="497"/>
      <c r="AM8" s="497"/>
      <c r="AN8" s="497"/>
      <c r="AO8" s="497"/>
      <c r="AP8" s="497"/>
      <c r="AQ8" s="497"/>
      <c r="AR8" s="497"/>
      <c r="AS8" s="497"/>
      <c r="AT8" s="497"/>
      <c r="AU8" s="497"/>
      <c r="AV8" s="497"/>
      <c r="AW8" s="497"/>
      <c r="AX8" s="497"/>
      <c r="AY8" s="497"/>
      <c r="AZ8" s="497"/>
      <c r="BA8" s="497"/>
      <c r="BB8" s="497"/>
      <c r="BC8" s="497"/>
      <c r="BD8" s="497"/>
      <c r="BE8" s="497"/>
      <c r="BF8" s="497"/>
      <c r="BG8" s="497"/>
      <c r="BH8" s="497"/>
      <c r="BI8" s="497"/>
      <c r="BJ8" s="497"/>
      <c r="BK8" s="497"/>
      <c r="BL8" s="497"/>
      <c r="BM8" s="497"/>
      <c r="BN8" s="497"/>
      <c r="BO8" s="497"/>
      <c r="BP8" s="497"/>
      <c r="BQ8" s="497"/>
      <c r="BR8" s="497"/>
      <c r="BS8" s="497"/>
      <c r="BT8" s="497"/>
      <c r="BU8" s="497"/>
      <c r="BV8" s="497"/>
      <c r="BW8" s="497"/>
      <c r="BX8" s="497"/>
      <c r="BY8" s="497"/>
      <c r="BZ8" s="497"/>
      <c r="CA8" s="497"/>
      <c r="CB8" s="497"/>
      <c r="CC8" s="497"/>
      <c r="CD8" s="497"/>
      <c r="CE8" s="497"/>
      <c r="CF8" s="497"/>
      <c r="CG8" s="497"/>
      <c r="CH8" s="497"/>
      <c r="CI8" s="497"/>
      <c r="CJ8" s="497"/>
      <c r="CK8" s="497"/>
      <c r="CL8" s="497"/>
      <c r="CM8" s="497"/>
      <c r="CN8" s="497"/>
      <c r="CO8" s="497"/>
      <c r="CP8" s="497"/>
      <c r="CQ8" s="497"/>
      <c r="CR8" s="497"/>
      <c r="CS8" s="497"/>
      <c r="CT8" s="497"/>
      <c r="CU8" s="497"/>
      <c r="CV8" s="497"/>
      <c r="CW8" s="497"/>
      <c r="CX8" s="497"/>
      <c r="CY8" s="497"/>
      <c r="CZ8" s="497"/>
      <c r="DA8" s="497"/>
      <c r="DB8" s="497"/>
      <c r="DC8" s="497"/>
      <c r="DD8" s="497"/>
      <c r="DE8" s="497"/>
      <c r="DF8" s="498"/>
      <c r="DG8" s="497"/>
      <c r="DH8" s="497"/>
      <c r="DI8" s="497"/>
      <c r="DJ8" s="497"/>
      <c r="DK8" s="497"/>
      <c r="DL8" s="497"/>
      <c r="DM8" s="497"/>
      <c r="DN8" s="497"/>
      <c r="DO8" s="497"/>
      <c r="DP8" s="497"/>
      <c r="DQ8" s="497"/>
      <c r="DR8" s="497"/>
      <c r="DS8" s="497"/>
      <c r="DT8" s="497"/>
      <c r="DU8" s="497"/>
      <c r="DV8" s="497"/>
      <c r="DW8" s="497"/>
      <c r="DX8" s="497"/>
      <c r="DY8" s="497"/>
      <c r="DZ8" s="497"/>
      <c r="EA8" s="497"/>
      <c r="EB8" s="497"/>
      <c r="EC8" s="497"/>
      <c r="ED8" s="497"/>
      <c r="EE8" s="497"/>
      <c r="EF8" s="497"/>
      <c r="EG8" s="497"/>
      <c r="EH8" s="497"/>
      <c r="EI8" s="497"/>
      <c r="EJ8" s="497"/>
      <c r="EK8" s="497"/>
      <c r="EL8" s="497"/>
    </row>
    <row r="9" spans="1:142" s="137" customFormat="1" ht="23.25" customHeight="1">
      <c r="A9" s="888">
        <v>1</v>
      </c>
      <c r="B9" s="888" t="s">
        <v>912</v>
      </c>
      <c r="C9" s="888" t="s">
        <v>913</v>
      </c>
      <c r="D9" s="499" t="s">
        <v>914</v>
      </c>
      <c r="E9" s="500"/>
      <c r="F9" s="501" t="s">
        <v>915</v>
      </c>
      <c r="G9" s="889"/>
      <c r="H9" s="502"/>
      <c r="I9" s="503"/>
      <c r="J9" s="503"/>
      <c r="K9" s="504">
        <f>L9+P9</f>
        <v>3820</v>
      </c>
      <c r="L9" s="504">
        <v>1684</v>
      </c>
      <c r="M9" s="504" t="s">
        <v>672</v>
      </c>
      <c r="N9" s="505" t="s">
        <v>672</v>
      </c>
      <c r="O9" s="505" t="s">
        <v>672</v>
      </c>
      <c r="P9" s="504">
        <v>2136</v>
      </c>
      <c r="Q9" s="504">
        <f t="shared" ref="Q9:Q15" si="0">K9*75%</f>
        <v>2865</v>
      </c>
      <c r="R9" s="504">
        <v>1262.9000000000001</v>
      </c>
      <c r="S9" s="505" t="s">
        <v>672</v>
      </c>
      <c r="T9" s="505" t="s">
        <v>672</v>
      </c>
      <c r="U9" s="505" t="s">
        <v>672</v>
      </c>
      <c r="V9" s="504">
        <f>Q9-R9</f>
        <v>1602.1</v>
      </c>
      <c r="W9" s="504">
        <f t="shared" ref="W9:W15" si="1">K9*0.25</f>
        <v>955</v>
      </c>
      <c r="X9" s="503"/>
      <c r="Y9" s="506"/>
      <c r="Z9" s="506"/>
      <c r="AA9" s="506"/>
      <c r="AB9" s="506"/>
      <c r="AC9" s="506"/>
      <c r="AD9" s="506"/>
      <c r="AE9" s="506"/>
      <c r="AF9" s="507"/>
      <c r="AG9" s="507"/>
      <c r="AH9" s="507"/>
      <c r="AI9" s="508"/>
      <c r="AJ9" s="508"/>
      <c r="AK9" s="508"/>
      <c r="AL9" s="508"/>
      <c r="AM9" s="508"/>
      <c r="AN9" s="508"/>
      <c r="AO9" s="508"/>
      <c r="AP9" s="508"/>
      <c r="AQ9" s="508"/>
      <c r="AR9" s="508"/>
      <c r="AS9" s="508"/>
      <c r="AT9" s="508"/>
      <c r="AU9" s="508"/>
      <c r="AV9" s="508"/>
      <c r="AW9" s="508"/>
      <c r="AX9" s="508"/>
      <c r="AY9" s="508"/>
      <c r="AZ9" s="508"/>
      <c r="BA9" s="508"/>
      <c r="BB9" s="508"/>
      <c r="BC9" s="508"/>
      <c r="BD9" s="508"/>
      <c r="BE9" s="508"/>
      <c r="BF9" s="508"/>
      <c r="BG9" s="508"/>
      <c r="BH9" s="508"/>
      <c r="BI9" s="508"/>
      <c r="BJ9" s="508"/>
      <c r="BK9" s="508"/>
      <c r="BL9" s="508"/>
      <c r="BM9" s="508"/>
      <c r="BN9" s="508"/>
      <c r="BO9" s="508"/>
      <c r="BP9" s="508"/>
      <c r="BQ9" s="508"/>
      <c r="BR9" s="508"/>
      <c r="BS9" s="508"/>
      <c r="BT9" s="508"/>
      <c r="BU9" s="508"/>
      <c r="BV9" s="508"/>
      <c r="BW9" s="508"/>
      <c r="BX9" s="508"/>
      <c r="BY9" s="508"/>
      <c r="BZ9" s="508"/>
      <c r="CA9" s="508"/>
      <c r="CB9" s="508"/>
      <c r="CC9" s="508"/>
      <c r="CD9" s="508"/>
      <c r="CE9" s="508"/>
      <c r="CF9" s="508"/>
      <c r="CG9" s="508"/>
      <c r="CH9" s="508"/>
      <c r="CI9" s="508"/>
      <c r="CJ9" s="508"/>
      <c r="CK9" s="508"/>
      <c r="CL9" s="508"/>
      <c r="CM9" s="508"/>
      <c r="CN9" s="508"/>
      <c r="CO9" s="508"/>
      <c r="CP9" s="508"/>
      <c r="CQ9" s="508"/>
      <c r="CR9" s="508"/>
      <c r="CS9" s="508"/>
      <c r="CT9" s="508"/>
      <c r="CU9" s="508"/>
      <c r="CV9" s="508"/>
      <c r="CW9" s="508"/>
      <c r="CX9" s="508"/>
      <c r="CY9" s="508"/>
      <c r="CZ9" s="508"/>
      <c r="DA9" s="508"/>
      <c r="DB9" s="508"/>
      <c r="DC9" s="508"/>
      <c r="DD9" s="508"/>
      <c r="DE9" s="508"/>
      <c r="DF9" s="509"/>
      <c r="DG9" s="508"/>
      <c r="DH9" s="508"/>
      <c r="DI9" s="508"/>
      <c r="DJ9" s="508"/>
      <c r="DK9" s="508"/>
      <c r="DL9" s="508"/>
      <c r="DM9" s="508"/>
      <c r="DN9" s="508"/>
      <c r="DO9" s="508"/>
      <c r="DP9" s="508"/>
      <c r="DQ9" s="508"/>
      <c r="DR9" s="508"/>
      <c r="DS9" s="508"/>
      <c r="DT9" s="508"/>
      <c r="DU9" s="508"/>
      <c r="DV9" s="508"/>
      <c r="DW9" s="508"/>
      <c r="DX9" s="508"/>
      <c r="DY9" s="508"/>
      <c r="DZ9" s="508"/>
      <c r="EA9" s="508"/>
      <c r="EB9" s="508"/>
      <c r="EC9" s="508"/>
      <c r="ED9" s="508"/>
      <c r="EE9" s="508"/>
      <c r="EF9" s="508"/>
      <c r="EG9" s="508"/>
      <c r="EH9" s="508"/>
      <c r="EI9" s="508"/>
      <c r="EJ9" s="508"/>
      <c r="EK9" s="508"/>
      <c r="EL9" s="508"/>
    </row>
    <row r="10" spans="1:142" s="137" customFormat="1" ht="23.25" customHeight="1">
      <c r="A10" s="881"/>
      <c r="B10" s="881"/>
      <c r="C10" s="881"/>
      <c r="D10" s="510" t="s">
        <v>916</v>
      </c>
      <c r="E10" s="511"/>
      <c r="F10" s="510" t="s">
        <v>915</v>
      </c>
      <c r="G10" s="881"/>
      <c r="H10" s="512"/>
      <c r="I10" s="503"/>
      <c r="J10" s="503"/>
      <c r="K10" s="504">
        <v>150</v>
      </c>
      <c r="L10" s="505" t="s">
        <v>672</v>
      </c>
      <c r="M10" s="505" t="s">
        <v>672</v>
      </c>
      <c r="N10" s="505" t="s">
        <v>672</v>
      </c>
      <c r="O10" s="505" t="s">
        <v>672</v>
      </c>
      <c r="P10" s="504">
        <v>494</v>
      </c>
      <c r="Q10" s="504">
        <f t="shared" si="0"/>
        <v>112.5</v>
      </c>
      <c r="R10" s="505" t="s">
        <v>672</v>
      </c>
      <c r="S10" s="505" t="s">
        <v>672</v>
      </c>
      <c r="T10" s="505" t="s">
        <v>672</v>
      </c>
      <c r="U10" s="505" t="s">
        <v>672</v>
      </c>
      <c r="V10" s="504">
        <f>Q10</f>
        <v>112.5</v>
      </c>
      <c r="W10" s="504">
        <f t="shared" si="1"/>
        <v>37.5</v>
      </c>
      <c r="X10" s="503"/>
      <c r="Y10" s="506"/>
      <c r="Z10" s="506"/>
      <c r="AA10" s="506"/>
      <c r="AB10" s="506"/>
      <c r="AC10" s="506"/>
      <c r="AD10" s="506"/>
      <c r="AE10" s="506"/>
      <c r="AF10" s="507"/>
      <c r="AG10" s="507"/>
      <c r="AH10" s="507"/>
      <c r="AI10" s="508"/>
      <c r="AJ10" s="508"/>
      <c r="AK10" s="508"/>
      <c r="AL10" s="508"/>
      <c r="AM10" s="508"/>
      <c r="AN10" s="508"/>
      <c r="AO10" s="508"/>
      <c r="AP10" s="508"/>
      <c r="AQ10" s="508"/>
      <c r="AR10" s="508"/>
      <c r="AS10" s="508"/>
      <c r="AT10" s="508"/>
      <c r="AU10" s="508"/>
      <c r="AV10" s="508"/>
      <c r="AW10" s="508"/>
      <c r="AX10" s="508"/>
      <c r="AY10" s="508"/>
      <c r="AZ10" s="508"/>
      <c r="BA10" s="508"/>
      <c r="BB10" s="508"/>
      <c r="BC10" s="508"/>
      <c r="BD10" s="508"/>
      <c r="BE10" s="508"/>
      <c r="BF10" s="508"/>
      <c r="BG10" s="508"/>
      <c r="BH10" s="508"/>
      <c r="BI10" s="508"/>
      <c r="BJ10" s="508"/>
      <c r="BK10" s="508"/>
      <c r="BL10" s="508"/>
      <c r="BM10" s="508"/>
      <c r="BN10" s="508"/>
      <c r="BO10" s="508"/>
      <c r="BP10" s="508"/>
      <c r="BQ10" s="508"/>
      <c r="BR10" s="508"/>
      <c r="BS10" s="508"/>
      <c r="BT10" s="508"/>
      <c r="BU10" s="508"/>
      <c r="BV10" s="508"/>
      <c r="BW10" s="508"/>
      <c r="BX10" s="508"/>
      <c r="BY10" s="508"/>
      <c r="BZ10" s="508"/>
      <c r="CA10" s="508"/>
      <c r="CB10" s="508"/>
      <c r="CC10" s="508"/>
      <c r="CD10" s="508"/>
      <c r="CE10" s="508"/>
      <c r="CF10" s="508"/>
      <c r="CG10" s="508"/>
      <c r="CH10" s="508"/>
      <c r="CI10" s="508"/>
      <c r="CJ10" s="508"/>
      <c r="CK10" s="508"/>
      <c r="CL10" s="508"/>
      <c r="CM10" s="508"/>
      <c r="CN10" s="508"/>
      <c r="CO10" s="508"/>
      <c r="CP10" s="508"/>
      <c r="CQ10" s="508"/>
      <c r="CR10" s="508"/>
      <c r="CS10" s="508"/>
      <c r="CT10" s="508"/>
      <c r="CU10" s="508"/>
      <c r="CV10" s="508"/>
      <c r="CW10" s="508"/>
      <c r="CX10" s="508"/>
      <c r="CY10" s="508"/>
      <c r="CZ10" s="508"/>
      <c r="DA10" s="508"/>
      <c r="DB10" s="508"/>
      <c r="DC10" s="508"/>
      <c r="DD10" s="508"/>
      <c r="DE10" s="508"/>
      <c r="DF10" s="509"/>
      <c r="DG10" s="508"/>
      <c r="DH10" s="508"/>
      <c r="DI10" s="508"/>
      <c r="DJ10" s="508"/>
      <c r="DK10" s="508"/>
      <c r="DL10" s="508"/>
      <c r="DM10" s="508"/>
      <c r="DN10" s="508"/>
      <c r="DO10" s="508"/>
      <c r="DP10" s="508"/>
      <c r="DQ10" s="508"/>
      <c r="DR10" s="508"/>
      <c r="DS10" s="508"/>
      <c r="DT10" s="508"/>
      <c r="DU10" s="508"/>
      <c r="DV10" s="508"/>
      <c r="DW10" s="508"/>
      <c r="DX10" s="508"/>
      <c r="DY10" s="508"/>
      <c r="DZ10" s="508"/>
      <c r="EA10" s="508"/>
      <c r="EB10" s="508"/>
      <c r="EC10" s="508"/>
      <c r="ED10" s="508"/>
      <c r="EE10" s="508"/>
      <c r="EF10" s="508"/>
      <c r="EG10" s="508"/>
      <c r="EH10" s="508"/>
      <c r="EI10" s="508"/>
      <c r="EJ10" s="508"/>
      <c r="EK10" s="508"/>
      <c r="EL10" s="508"/>
    </row>
    <row r="11" spans="1:142" s="137" customFormat="1" ht="23.25" customHeight="1">
      <c r="A11" s="881"/>
      <c r="B11" s="881"/>
      <c r="C11" s="881"/>
      <c r="D11" s="510" t="s">
        <v>917</v>
      </c>
      <c r="E11" s="511"/>
      <c r="F11" s="510" t="s">
        <v>915</v>
      </c>
      <c r="G11" s="881"/>
      <c r="H11" s="512"/>
      <c r="I11" s="503"/>
      <c r="J11" s="503"/>
      <c r="K11" s="513">
        <f>L11+P11</f>
        <v>913.8</v>
      </c>
      <c r="L11" s="504">
        <v>130.80000000000001</v>
      </c>
      <c r="M11" s="505" t="s">
        <v>672</v>
      </c>
      <c r="N11" s="505" t="s">
        <v>672</v>
      </c>
      <c r="O11" s="505" t="s">
        <v>672</v>
      </c>
      <c r="P11" s="504">
        <v>783</v>
      </c>
      <c r="Q11" s="504">
        <f t="shared" si="0"/>
        <v>685.34999999999991</v>
      </c>
      <c r="R11" s="504">
        <v>98.2</v>
      </c>
      <c r="S11" s="505" t="s">
        <v>672</v>
      </c>
      <c r="T11" s="505" t="s">
        <v>672</v>
      </c>
      <c r="U11" s="505" t="s">
        <v>672</v>
      </c>
      <c r="V11" s="504">
        <f>Q11-R11</f>
        <v>587.14999999999986</v>
      </c>
      <c r="W11" s="504">
        <f t="shared" si="1"/>
        <v>228.45</v>
      </c>
      <c r="X11" s="503"/>
      <c r="Y11" s="506"/>
      <c r="Z11" s="506"/>
      <c r="AA11" s="506"/>
      <c r="AB11" s="506"/>
      <c r="AC11" s="506"/>
      <c r="AD11" s="506"/>
      <c r="AE11" s="506"/>
      <c r="AF11" s="507"/>
      <c r="AG11" s="507"/>
      <c r="AH11" s="507"/>
      <c r="AI11" s="508"/>
      <c r="AJ11" s="508"/>
      <c r="AK11" s="508"/>
      <c r="AL11" s="508"/>
      <c r="AM11" s="508"/>
      <c r="AN11" s="508"/>
      <c r="AO11" s="508"/>
      <c r="AP11" s="508"/>
      <c r="AQ11" s="508"/>
      <c r="AR11" s="508"/>
      <c r="AS11" s="508"/>
      <c r="AT11" s="508"/>
      <c r="AU11" s="508"/>
      <c r="AV11" s="508"/>
      <c r="AW11" s="508"/>
      <c r="AX11" s="508"/>
      <c r="AY11" s="508"/>
      <c r="AZ11" s="508"/>
      <c r="BA11" s="508"/>
      <c r="BB11" s="508"/>
      <c r="BC11" s="508"/>
      <c r="BD11" s="508"/>
      <c r="BE11" s="508"/>
      <c r="BF11" s="508"/>
      <c r="BG11" s="508"/>
      <c r="BH11" s="508"/>
      <c r="BI11" s="508"/>
      <c r="BJ11" s="508"/>
      <c r="BK11" s="508"/>
      <c r="BL11" s="508"/>
      <c r="BM11" s="508"/>
      <c r="BN11" s="508"/>
      <c r="BO11" s="508"/>
      <c r="BP11" s="508"/>
      <c r="BQ11" s="508"/>
      <c r="BR11" s="508"/>
      <c r="BS11" s="508"/>
      <c r="BT11" s="508"/>
      <c r="BU11" s="508"/>
      <c r="BV11" s="508"/>
      <c r="BW11" s="508"/>
      <c r="BX11" s="508"/>
      <c r="BY11" s="508"/>
      <c r="BZ11" s="508"/>
      <c r="CA11" s="508"/>
      <c r="CB11" s="508"/>
      <c r="CC11" s="508"/>
      <c r="CD11" s="508"/>
      <c r="CE11" s="508"/>
      <c r="CF11" s="508"/>
      <c r="CG11" s="508"/>
      <c r="CH11" s="508"/>
      <c r="CI11" s="508"/>
      <c r="CJ11" s="508"/>
      <c r="CK11" s="508"/>
      <c r="CL11" s="508"/>
      <c r="CM11" s="508"/>
      <c r="CN11" s="508"/>
      <c r="CO11" s="508"/>
      <c r="CP11" s="508"/>
      <c r="CQ11" s="508"/>
      <c r="CR11" s="508"/>
      <c r="CS11" s="508"/>
      <c r="CT11" s="508"/>
      <c r="CU11" s="508"/>
      <c r="CV11" s="508"/>
      <c r="CW11" s="508"/>
      <c r="CX11" s="508"/>
      <c r="CY11" s="508"/>
      <c r="CZ11" s="508"/>
      <c r="DA11" s="508"/>
      <c r="DB11" s="508"/>
      <c r="DC11" s="508"/>
      <c r="DD11" s="508"/>
      <c r="DE11" s="508"/>
      <c r="DF11" s="509"/>
      <c r="DG11" s="508"/>
      <c r="DH11" s="508"/>
      <c r="DI11" s="508"/>
      <c r="DJ11" s="508"/>
      <c r="DK11" s="508"/>
      <c r="DL11" s="508"/>
      <c r="DM11" s="508"/>
      <c r="DN11" s="508"/>
      <c r="DO11" s="508"/>
      <c r="DP11" s="508"/>
      <c r="DQ11" s="508"/>
      <c r="DR11" s="508"/>
      <c r="DS11" s="508"/>
      <c r="DT11" s="508"/>
      <c r="DU11" s="508"/>
      <c r="DV11" s="508"/>
      <c r="DW11" s="508"/>
      <c r="DX11" s="508"/>
      <c r="DY11" s="508"/>
      <c r="DZ11" s="508"/>
      <c r="EA11" s="508"/>
      <c r="EB11" s="508"/>
      <c r="EC11" s="508"/>
      <c r="ED11" s="508"/>
      <c r="EE11" s="508"/>
      <c r="EF11" s="508"/>
      <c r="EG11" s="508"/>
      <c r="EH11" s="508"/>
      <c r="EI11" s="508"/>
      <c r="EJ11" s="508"/>
      <c r="EK11" s="508"/>
      <c r="EL11" s="508"/>
    </row>
    <row r="12" spans="1:142" s="137" customFormat="1" ht="23.25" customHeight="1">
      <c r="A12" s="881"/>
      <c r="B12" s="881"/>
      <c r="C12" s="881"/>
      <c r="D12" s="510" t="s">
        <v>918</v>
      </c>
      <c r="E12" s="511"/>
      <c r="F12" s="510" t="s">
        <v>915</v>
      </c>
      <c r="G12" s="881"/>
      <c r="H12" s="512"/>
      <c r="I12" s="503"/>
      <c r="J12" s="503"/>
      <c r="K12" s="504">
        <f>L12+P12</f>
        <v>863.7</v>
      </c>
      <c r="L12" s="504">
        <v>90.7</v>
      </c>
      <c r="M12" s="505" t="s">
        <v>672</v>
      </c>
      <c r="N12" s="505" t="s">
        <v>672</v>
      </c>
      <c r="O12" s="505" t="s">
        <v>672</v>
      </c>
      <c r="P12" s="504">
        <v>773</v>
      </c>
      <c r="Q12" s="504">
        <f t="shared" si="0"/>
        <v>647.77500000000009</v>
      </c>
      <c r="R12" s="504">
        <v>68</v>
      </c>
      <c r="S12" s="505" t="s">
        <v>672</v>
      </c>
      <c r="T12" s="505" t="s">
        <v>672</v>
      </c>
      <c r="U12" s="505" t="s">
        <v>672</v>
      </c>
      <c r="V12" s="504">
        <f>Q12-R12</f>
        <v>579.77500000000009</v>
      </c>
      <c r="W12" s="504">
        <f t="shared" si="1"/>
        <v>215.92500000000001</v>
      </c>
      <c r="X12" s="503"/>
      <c r="Y12" s="506"/>
      <c r="Z12" s="506"/>
      <c r="AA12" s="506"/>
      <c r="AB12" s="506"/>
      <c r="AC12" s="506"/>
      <c r="AD12" s="506"/>
      <c r="AE12" s="506"/>
      <c r="AF12" s="507"/>
      <c r="AG12" s="507"/>
      <c r="AH12" s="507"/>
      <c r="AI12" s="508"/>
      <c r="AJ12" s="508"/>
      <c r="AK12" s="508"/>
      <c r="AL12" s="508"/>
      <c r="AM12" s="508"/>
      <c r="AN12" s="508"/>
      <c r="AO12" s="508"/>
      <c r="AP12" s="508"/>
      <c r="AQ12" s="508"/>
      <c r="AR12" s="508"/>
      <c r="AS12" s="508"/>
      <c r="AT12" s="508"/>
      <c r="AU12" s="508"/>
      <c r="AV12" s="508"/>
      <c r="AW12" s="508"/>
      <c r="AX12" s="508"/>
      <c r="AY12" s="508"/>
      <c r="AZ12" s="508"/>
      <c r="BA12" s="508"/>
      <c r="BB12" s="508"/>
      <c r="BC12" s="508"/>
      <c r="BD12" s="508"/>
      <c r="BE12" s="508"/>
      <c r="BF12" s="508"/>
      <c r="BG12" s="508"/>
      <c r="BH12" s="508"/>
      <c r="BI12" s="508"/>
      <c r="BJ12" s="508"/>
      <c r="BK12" s="508"/>
      <c r="BL12" s="508"/>
      <c r="BM12" s="508"/>
      <c r="BN12" s="508"/>
      <c r="BO12" s="508"/>
      <c r="BP12" s="508"/>
      <c r="BQ12" s="508"/>
      <c r="BR12" s="508"/>
      <c r="BS12" s="508"/>
      <c r="BT12" s="508"/>
      <c r="BU12" s="508"/>
      <c r="BV12" s="508"/>
      <c r="BW12" s="508"/>
      <c r="BX12" s="508"/>
      <c r="BY12" s="508"/>
      <c r="BZ12" s="508"/>
      <c r="CA12" s="508"/>
      <c r="CB12" s="508"/>
      <c r="CC12" s="508"/>
      <c r="CD12" s="508"/>
      <c r="CE12" s="508"/>
      <c r="CF12" s="508"/>
      <c r="CG12" s="508"/>
      <c r="CH12" s="508"/>
      <c r="CI12" s="508"/>
      <c r="CJ12" s="508"/>
      <c r="CK12" s="508"/>
      <c r="CL12" s="508"/>
      <c r="CM12" s="508"/>
      <c r="CN12" s="508"/>
      <c r="CO12" s="508"/>
      <c r="CP12" s="508"/>
      <c r="CQ12" s="508"/>
      <c r="CR12" s="508"/>
      <c r="CS12" s="508"/>
      <c r="CT12" s="508"/>
      <c r="CU12" s="508"/>
      <c r="CV12" s="508"/>
      <c r="CW12" s="508"/>
      <c r="CX12" s="508"/>
      <c r="CY12" s="508"/>
      <c r="CZ12" s="508"/>
      <c r="DA12" s="508"/>
      <c r="DB12" s="508"/>
      <c r="DC12" s="508"/>
      <c r="DD12" s="508"/>
      <c r="DE12" s="508"/>
      <c r="DF12" s="509"/>
      <c r="DG12" s="508"/>
      <c r="DH12" s="508"/>
      <c r="DI12" s="508"/>
      <c r="DJ12" s="508"/>
      <c r="DK12" s="508"/>
      <c r="DL12" s="508"/>
      <c r="DM12" s="508"/>
      <c r="DN12" s="508"/>
      <c r="DO12" s="508"/>
      <c r="DP12" s="508"/>
      <c r="DQ12" s="508"/>
      <c r="DR12" s="508"/>
      <c r="DS12" s="508"/>
      <c r="DT12" s="508"/>
      <c r="DU12" s="508"/>
      <c r="DV12" s="508"/>
      <c r="DW12" s="508"/>
      <c r="DX12" s="508"/>
      <c r="DY12" s="508"/>
      <c r="DZ12" s="508"/>
      <c r="EA12" s="508"/>
      <c r="EB12" s="508"/>
      <c r="EC12" s="508"/>
      <c r="ED12" s="508"/>
      <c r="EE12" s="508"/>
      <c r="EF12" s="508"/>
      <c r="EG12" s="508"/>
      <c r="EH12" s="508"/>
      <c r="EI12" s="508"/>
      <c r="EJ12" s="508"/>
      <c r="EK12" s="508"/>
      <c r="EL12" s="508"/>
    </row>
    <row r="13" spans="1:142" s="137" customFormat="1" ht="23.25" customHeight="1">
      <c r="A13" s="881"/>
      <c r="B13" s="881"/>
      <c r="C13" s="881"/>
      <c r="D13" s="510" t="s">
        <v>306</v>
      </c>
      <c r="E13" s="511"/>
      <c r="F13" s="510" t="s">
        <v>915</v>
      </c>
      <c r="G13" s="881"/>
      <c r="H13" s="512"/>
      <c r="I13" s="503"/>
      <c r="J13" s="503"/>
      <c r="K13" s="504">
        <f>L13+P13</f>
        <v>208.3</v>
      </c>
      <c r="L13" s="504">
        <v>38.5</v>
      </c>
      <c r="M13" s="505" t="s">
        <v>672</v>
      </c>
      <c r="N13" s="505" t="s">
        <v>672</v>
      </c>
      <c r="O13" s="505" t="s">
        <v>672</v>
      </c>
      <c r="P13" s="504">
        <v>169.8</v>
      </c>
      <c r="Q13" s="504">
        <f t="shared" si="0"/>
        <v>156.22500000000002</v>
      </c>
      <c r="R13" s="504">
        <v>29.1</v>
      </c>
      <c r="S13" s="505" t="s">
        <v>672</v>
      </c>
      <c r="T13" s="505" t="s">
        <v>672</v>
      </c>
      <c r="U13" s="505" t="s">
        <v>672</v>
      </c>
      <c r="V13" s="504">
        <f>Q13-R13</f>
        <v>127.12500000000003</v>
      </c>
      <c r="W13" s="504">
        <f t="shared" si="1"/>
        <v>52.075000000000003</v>
      </c>
      <c r="X13" s="503"/>
      <c r="Y13" s="506"/>
      <c r="Z13" s="506"/>
      <c r="AA13" s="506"/>
      <c r="AB13" s="506"/>
      <c r="AC13" s="506"/>
      <c r="AD13" s="506"/>
      <c r="AE13" s="506"/>
      <c r="AF13" s="507"/>
      <c r="AG13" s="507"/>
      <c r="AH13" s="507"/>
      <c r="AI13" s="508"/>
      <c r="AJ13" s="508"/>
      <c r="AK13" s="508"/>
      <c r="AL13" s="508"/>
      <c r="AM13" s="508"/>
      <c r="AN13" s="508"/>
      <c r="AO13" s="508"/>
      <c r="AP13" s="508"/>
      <c r="AQ13" s="508"/>
      <c r="AR13" s="508"/>
      <c r="AS13" s="508"/>
      <c r="AT13" s="508"/>
      <c r="AU13" s="508"/>
      <c r="AV13" s="508"/>
      <c r="AW13" s="508"/>
      <c r="AX13" s="508"/>
      <c r="AY13" s="508"/>
      <c r="AZ13" s="508"/>
      <c r="BA13" s="508"/>
      <c r="BB13" s="508"/>
      <c r="BC13" s="508"/>
      <c r="BD13" s="508"/>
      <c r="BE13" s="508"/>
      <c r="BF13" s="508"/>
      <c r="BG13" s="508"/>
      <c r="BH13" s="508"/>
      <c r="BI13" s="508"/>
      <c r="BJ13" s="508"/>
      <c r="BK13" s="508"/>
      <c r="BL13" s="508"/>
      <c r="BM13" s="508"/>
      <c r="BN13" s="508"/>
      <c r="BO13" s="508"/>
      <c r="BP13" s="508"/>
      <c r="BQ13" s="508"/>
      <c r="BR13" s="508"/>
      <c r="BS13" s="508"/>
      <c r="BT13" s="508"/>
      <c r="BU13" s="508"/>
      <c r="BV13" s="508"/>
      <c r="BW13" s="508"/>
      <c r="BX13" s="508"/>
      <c r="BY13" s="508"/>
      <c r="BZ13" s="508"/>
      <c r="CA13" s="508"/>
      <c r="CB13" s="508"/>
      <c r="CC13" s="508"/>
      <c r="CD13" s="508"/>
      <c r="CE13" s="508"/>
      <c r="CF13" s="508"/>
      <c r="CG13" s="508"/>
      <c r="CH13" s="508"/>
      <c r="CI13" s="508"/>
      <c r="CJ13" s="508"/>
      <c r="CK13" s="508"/>
      <c r="CL13" s="508"/>
      <c r="CM13" s="508"/>
      <c r="CN13" s="508"/>
      <c r="CO13" s="508"/>
      <c r="CP13" s="508"/>
      <c r="CQ13" s="508"/>
      <c r="CR13" s="508"/>
      <c r="CS13" s="508"/>
      <c r="CT13" s="508"/>
      <c r="CU13" s="508"/>
      <c r="CV13" s="508"/>
      <c r="CW13" s="508"/>
      <c r="CX13" s="508"/>
      <c r="CY13" s="508"/>
      <c r="CZ13" s="508"/>
      <c r="DA13" s="508"/>
      <c r="DB13" s="508"/>
      <c r="DC13" s="508"/>
      <c r="DD13" s="508"/>
      <c r="DE13" s="508"/>
      <c r="DF13" s="509"/>
      <c r="DG13" s="508"/>
      <c r="DH13" s="508"/>
      <c r="DI13" s="508"/>
      <c r="DJ13" s="508"/>
      <c r="DK13" s="508"/>
      <c r="DL13" s="508"/>
      <c r="DM13" s="508"/>
      <c r="DN13" s="508"/>
      <c r="DO13" s="508"/>
      <c r="DP13" s="508"/>
      <c r="DQ13" s="508"/>
      <c r="DR13" s="508"/>
      <c r="DS13" s="508"/>
      <c r="DT13" s="508"/>
      <c r="DU13" s="508"/>
      <c r="DV13" s="508"/>
      <c r="DW13" s="508"/>
      <c r="DX13" s="508"/>
      <c r="DY13" s="508"/>
      <c r="DZ13" s="508"/>
      <c r="EA13" s="508"/>
      <c r="EB13" s="508"/>
      <c r="EC13" s="508"/>
      <c r="ED13" s="508"/>
      <c r="EE13" s="508"/>
      <c r="EF13" s="508"/>
      <c r="EG13" s="508"/>
      <c r="EH13" s="508"/>
      <c r="EI13" s="508"/>
      <c r="EJ13" s="508"/>
      <c r="EK13" s="508"/>
      <c r="EL13" s="508"/>
    </row>
    <row r="14" spans="1:142" s="137" customFormat="1" ht="23.25" customHeight="1">
      <c r="A14" s="881"/>
      <c r="B14" s="881"/>
      <c r="C14" s="881"/>
      <c r="D14" s="510" t="s">
        <v>156</v>
      </c>
      <c r="E14" s="511"/>
      <c r="F14" s="510" t="s">
        <v>915</v>
      </c>
      <c r="G14" s="881"/>
      <c r="H14" s="512"/>
      <c r="I14" s="503"/>
      <c r="J14" s="503"/>
      <c r="K14" s="504">
        <f>L14+P14</f>
        <v>1456.1000000000001</v>
      </c>
      <c r="L14" s="504">
        <v>118.4</v>
      </c>
      <c r="M14" s="505" t="s">
        <v>672</v>
      </c>
      <c r="N14" s="505" t="s">
        <v>672</v>
      </c>
      <c r="O14" s="505" t="s">
        <v>672</v>
      </c>
      <c r="P14" s="504">
        <v>1337.7</v>
      </c>
      <c r="Q14" s="504">
        <f t="shared" si="0"/>
        <v>1092.075</v>
      </c>
      <c r="R14" s="504">
        <v>88.9</v>
      </c>
      <c r="S14" s="505" t="s">
        <v>672</v>
      </c>
      <c r="T14" s="505" t="s">
        <v>672</v>
      </c>
      <c r="U14" s="505" t="s">
        <v>672</v>
      </c>
      <c r="V14" s="504">
        <f>Q14-R14</f>
        <v>1003.1750000000001</v>
      </c>
      <c r="W14" s="504">
        <f t="shared" si="1"/>
        <v>364.02500000000003</v>
      </c>
      <c r="X14" s="503"/>
      <c r="Y14" s="506"/>
      <c r="Z14" s="506"/>
      <c r="AA14" s="506"/>
      <c r="AB14" s="506"/>
      <c r="AC14" s="506"/>
      <c r="AD14" s="506"/>
      <c r="AE14" s="506"/>
      <c r="AF14" s="507"/>
      <c r="AG14" s="507"/>
      <c r="AH14" s="507"/>
      <c r="AI14" s="508"/>
      <c r="AJ14" s="508"/>
      <c r="AK14" s="508"/>
      <c r="AL14" s="508"/>
      <c r="AM14" s="508"/>
      <c r="AN14" s="508"/>
      <c r="AO14" s="508"/>
      <c r="AP14" s="508"/>
      <c r="AQ14" s="508"/>
      <c r="AR14" s="508"/>
      <c r="AS14" s="508"/>
      <c r="AT14" s="508"/>
      <c r="AU14" s="508"/>
      <c r="AV14" s="508"/>
      <c r="AW14" s="508"/>
      <c r="AX14" s="508"/>
      <c r="AY14" s="508"/>
      <c r="AZ14" s="508"/>
      <c r="BA14" s="508"/>
      <c r="BB14" s="508"/>
      <c r="BC14" s="508"/>
      <c r="BD14" s="508"/>
      <c r="BE14" s="508"/>
      <c r="BF14" s="508"/>
      <c r="BG14" s="508"/>
      <c r="BH14" s="508"/>
      <c r="BI14" s="508"/>
      <c r="BJ14" s="508"/>
      <c r="BK14" s="508"/>
      <c r="BL14" s="508"/>
      <c r="BM14" s="508"/>
      <c r="BN14" s="508"/>
      <c r="BO14" s="508"/>
      <c r="BP14" s="508"/>
      <c r="BQ14" s="508"/>
      <c r="BR14" s="508"/>
      <c r="BS14" s="508"/>
      <c r="BT14" s="508"/>
      <c r="BU14" s="508"/>
      <c r="BV14" s="508"/>
      <c r="BW14" s="508"/>
      <c r="BX14" s="508"/>
      <c r="BY14" s="508"/>
      <c r="BZ14" s="508"/>
      <c r="CA14" s="508"/>
      <c r="CB14" s="508"/>
      <c r="CC14" s="508"/>
      <c r="CD14" s="508"/>
      <c r="CE14" s="508"/>
      <c r="CF14" s="508"/>
      <c r="CG14" s="508"/>
      <c r="CH14" s="508"/>
      <c r="CI14" s="508"/>
      <c r="CJ14" s="508"/>
      <c r="CK14" s="508"/>
      <c r="CL14" s="508"/>
      <c r="CM14" s="508"/>
      <c r="CN14" s="508"/>
      <c r="CO14" s="508"/>
      <c r="CP14" s="508"/>
      <c r="CQ14" s="508"/>
      <c r="CR14" s="508"/>
      <c r="CS14" s="508"/>
      <c r="CT14" s="508"/>
      <c r="CU14" s="508"/>
      <c r="CV14" s="508"/>
      <c r="CW14" s="508"/>
      <c r="CX14" s="508"/>
      <c r="CY14" s="508"/>
      <c r="CZ14" s="508"/>
      <c r="DA14" s="508"/>
      <c r="DB14" s="508"/>
      <c r="DC14" s="508"/>
      <c r="DD14" s="508"/>
      <c r="DE14" s="508"/>
      <c r="DF14" s="509"/>
      <c r="DG14" s="508"/>
      <c r="DH14" s="508"/>
      <c r="DI14" s="508"/>
      <c r="DJ14" s="508"/>
      <c r="DK14" s="508"/>
      <c r="DL14" s="508"/>
      <c r="DM14" s="508"/>
      <c r="DN14" s="508"/>
      <c r="DO14" s="508"/>
      <c r="DP14" s="508"/>
      <c r="DQ14" s="508"/>
      <c r="DR14" s="508"/>
      <c r="DS14" s="508"/>
      <c r="DT14" s="508"/>
      <c r="DU14" s="508"/>
      <c r="DV14" s="508"/>
      <c r="DW14" s="508"/>
      <c r="DX14" s="508"/>
      <c r="DY14" s="508"/>
      <c r="DZ14" s="508"/>
      <c r="EA14" s="508"/>
      <c r="EB14" s="508"/>
      <c r="EC14" s="508"/>
      <c r="ED14" s="508"/>
      <c r="EE14" s="508"/>
      <c r="EF14" s="508"/>
      <c r="EG14" s="508"/>
      <c r="EH14" s="508"/>
      <c r="EI14" s="508"/>
      <c r="EJ14" s="508"/>
      <c r="EK14" s="508"/>
      <c r="EL14" s="508"/>
    </row>
    <row r="15" spans="1:142" s="137" customFormat="1" ht="23.25" customHeight="1">
      <c r="A15" s="881"/>
      <c r="B15" s="881"/>
      <c r="C15" s="881"/>
      <c r="D15" s="510" t="s">
        <v>574</v>
      </c>
      <c r="E15" s="511"/>
      <c r="F15" s="510" t="s">
        <v>915</v>
      </c>
      <c r="G15" s="881"/>
      <c r="H15" s="512"/>
      <c r="I15" s="503"/>
      <c r="J15" s="503"/>
      <c r="K15" s="504">
        <f>L15+M15+P15</f>
        <v>3295.6</v>
      </c>
      <c r="L15" s="504">
        <v>1085.5999999999999</v>
      </c>
      <c r="M15" s="504">
        <v>1461</v>
      </c>
      <c r="N15" s="505" t="s">
        <v>672</v>
      </c>
      <c r="O15" s="505" t="s">
        <v>672</v>
      </c>
      <c r="P15" s="504">
        <v>749</v>
      </c>
      <c r="Q15" s="504">
        <f t="shared" si="0"/>
        <v>2471.6999999999998</v>
      </c>
      <c r="R15" s="504">
        <v>814.4</v>
      </c>
      <c r="S15" s="504">
        <v>1096</v>
      </c>
      <c r="T15" s="505" t="s">
        <v>672</v>
      </c>
      <c r="U15" s="505" t="s">
        <v>672</v>
      </c>
      <c r="V15" s="504">
        <f>Q15-R15-S15</f>
        <v>561.29999999999973</v>
      </c>
      <c r="W15" s="504">
        <f t="shared" si="1"/>
        <v>823.9</v>
      </c>
      <c r="X15" s="503"/>
      <c r="Y15" s="506"/>
      <c r="Z15" s="506"/>
      <c r="AA15" s="506"/>
      <c r="AB15" s="506"/>
      <c r="AC15" s="506"/>
      <c r="AD15" s="506"/>
      <c r="AE15" s="506"/>
      <c r="AF15" s="507"/>
      <c r="AG15" s="507"/>
      <c r="AH15" s="507"/>
      <c r="AI15" s="508"/>
      <c r="AJ15" s="508"/>
      <c r="AK15" s="508"/>
      <c r="AL15" s="508"/>
      <c r="AM15" s="508"/>
      <c r="AN15" s="508"/>
      <c r="AO15" s="508"/>
      <c r="AP15" s="508"/>
      <c r="AQ15" s="508"/>
      <c r="AR15" s="508"/>
      <c r="AS15" s="508"/>
      <c r="AT15" s="508"/>
      <c r="AU15" s="508"/>
      <c r="AV15" s="508"/>
      <c r="AW15" s="508"/>
      <c r="AX15" s="508"/>
      <c r="AY15" s="508"/>
      <c r="AZ15" s="508"/>
      <c r="BA15" s="508"/>
      <c r="BB15" s="508"/>
      <c r="BC15" s="508"/>
      <c r="BD15" s="508"/>
      <c r="BE15" s="508"/>
      <c r="BF15" s="508"/>
      <c r="BG15" s="508"/>
      <c r="BH15" s="508"/>
      <c r="BI15" s="508"/>
      <c r="BJ15" s="508"/>
      <c r="BK15" s="508"/>
      <c r="BL15" s="508"/>
      <c r="BM15" s="508"/>
      <c r="BN15" s="508"/>
      <c r="BO15" s="508"/>
      <c r="BP15" s="508"/>
      <c r="BQ15" s="508"/>
      <c r="BR15" s="508"/>
      <c r="BS15" s="508"/>
      <c r="BT15" s="508"/>
      <c r="BU15" s="508"/>
      <c r="BV15" s="508"/>
      <c r="BW15" s="508"/>
      <c r="BX15" s="508"/>
      <c r="BY15" s="508"/>
      <c r="BZ15" s="508"/>
      <c r="CA15" s="508"/>
      <c r="CB15" s="508"/>
      <c r="CC15" s="508"/>
      <c r="CD15" s="508"/>
      <c r="CE15" s="508"/>
      <c r="CF15" s="508"/>
      <c r="CG15" s="508"/>
      <c r="CH15" s="508"/>
      <c r="CI15" s="508"/>
      <c r="CJ15" s="508"/>
      <c r="CK15" s="508"/>
      <c r="CL15" s="508"/>
      <c r="CM15" s="508"/>
      <c r="CN15" s="508"/>
      <c r="CO15" s="508"/>
      <c r="CP15" s="508"/>
      <c r="CQ15" s="508"/>
      <c r="CR15" s="508"/>
      <c r="CS15" s="508"/>
      <c r="CT15" s="508"/>
      <c r="CU15" s="508"/>
      <c r="CV15" s="508"/>
      <c r="CW15" s="508"/>
      <c r="CX15" s="508"/>
      <c r="CY15" s="508"/>
      <c r="CZ15" s="508"/>
      <c r="DA15" s="508"/>
      <c r="DB15" s="508"/>
      <c r="DC15" s="508"/>
      <c r="DD15" s="508"/>
      <c r="DE15" s="508"/>
      <c r="DF15" s="509"/>
      <c r="DG15" s="508"/>
      <c r="DH15" s="508"/>
      <c r="DI15" s="508"/>
      <c r="DJ15" s="508"/>
      <c r="DK15" s="508"/>
      <c r="DL15" s="508"/>
      <c r="DM15" s="508"/>
      <c r="DN15" s="508"/>
      <c r="DO15" s="508"/>
      <c r="DP15" s="508"/>
      <c r="DQ15" s="508"/>
      <c r="DR15" s="508"/>
      <c r="DS15" s="508"/>
      <c r="DT15" s="508"/>
      <c r="DU15" s="508"/>
      <c r="DV15" s="508"/>
      <c r="DW15" s="508"/>
      <c r="DX15" s="508"/>
      <c r="DY15" s="508"/>
      <c r="DZ15" s="508"/>
      <c r="EA15" s="508"/>
      <c r="EB15" s="508"/>
      <c r="EC15" s="508"/>
      <c r="ED15" s="508"/>
      <c r="EE15" s="508"/>
      <c r="EF15" s="508"/>
      <c r="EG15" s="508"/>
      <c r="EH15" s="508"/>
      <c r="EI15" s="508"/>
      <c r="EJ15" s="508"/>
      <c r="EK15" s="508"/>
      <c r="EL15" s="508"/>
    </row>
    <row r="16" spans="1:142" s="137" customFormat="1" ht="23.25" customHeight="1">
      <c r="A16" s="881"/>
      <c r="B16" s="881"/>
      <c r="C16" s="881"/>
      <c r="D16" s="510" t="s">
        <v>919</v>
      </c>
      <c r="E16" s="511"/>
      <c r="F16" s="510" t="s">
        <v>915</v>
      </c>
      <c r="G16" s="881"/>
      <c r="H16" s="512"/>
      <c r="I16" s="503"/>
      <c r="J16" s="503"/>
      <c r="K16" s="505" t="s">
        <v>672</v>
      </c>
      <c r="L16" s="505" t="s">
        <v>672</v>
      </c>
      <c r="M16" s="505" t="s">
        <v>672</v>
      </c>
      <c r="N16" s="505" t="s">
        <v>672</v>
      </c>
      <c r="O16" s="505" t="s">
        <v>672</v>
      </c>
      <c r="P16" s="505" t="s">
        <v>672</v>
      </c>
      <c r="Q16" s="504">
        <v>102</v>
      </c>
      <c r="R16" s="505" t="s">
        <v>672</v>
      </c>
      <c r="S16" s="505" t="s">
        <v>672</v>
      </c>
      <c r="T16" s="505" t="s">
        <v>672</v>
      </c>
      <c r="U16" s="505" t="s">
        <v>672</v>
      </c>
      <c r="V16" s="504">
        <v>102</v>
      </c>
      <c r="W16" s="504">
        <v>-102</v>
      </c>
      <c r="X16" s="503"/>
      <c r="Y16" s="506"/>
      <c r="Z16" s="506"/>
      <c r="AA16" s="506"/>
      <c r="AB16" s="506"/>
      <c r="AC16" s="506"/>
      <c r="AD16" s="506"/>
      <c r="AE16" s="506"/>
      <c r="AF16" s="507"/>
      <c r="AG16" s="507"/>
      <c r="AH16" s="507"/>
      <c r="AI16" s="508"/>
      <c r="AJ16" s="508"/>
      <c r="AK16" s="508"/>
      <c r="AL16" s="508"/>
      <c r="AM16" s="508"/>
      <c r="AN16" s="508"/>
      <c r="AO16" s="508"/>
      <c r="AP16" s="508"/>
      <c r="AQ16" s="508"/>
      <c r="AR16" s="508"/>
      <c r="AS16" s="508"/>
      <c r="AT16" s="508"/>
      <c r="AU16" s="508"/>
      <c r="AV16" s="508"/>
      <c r="AW16" s="508"/>
      <c r="AX16" s="508"/>
      <c r="AY16" s="508"/>
      <c r="AZ16" s="508"/>
      <c r="BA16" s="508"/>
      <c r="BB16" s="508"/>
      <c r="BC16" s="508"/>
      <c r="BD16" s="508"/>
      <c r="BE16" s="508"/>
      <c r="BF16" s="508"/>
      <c r="BG16" s="508"/>
      <c r="BH16" s="508"/>
      <c r="BI16" s="508"/>
      <c r="BJ16" s="508"/>
      <c r="BK16" s="508"/>
      <c r="BL16" s="508"/>
      <c r="BM16" s="508"/>
      <c r="BN16" s="508"/>
      <c r="BO16" s="508"/>
      <c r="BP16" s="508"/>
      <c r="BQ16" s="508"/>
      <c r="BR16" s="508"/>
      <c r="BS16" s="508"/>
      <c r="BT16" s="508"/>
      <c r="BU16" s="508"/>
      <c r="BV16" s="508"/>
      <c r="BW16" s="508"/>
      <c r="BX16" s="508"/>
      <c r="BY16" s="508"/>
      <c r="BZ16" s="508"/>
      <c r="CA16" s="508"/>
      <c r="CB16" s="508"/>
      <c r="CC16" s="508"/>
      <c r="CD16" s="508"/>
      <c r="CE16" s="508"/>
      <c r="CF16" s="508"/>
      <c r="CG16" s="508"/>
      <c r="CH16" s="508"/>
      <c r="CI16" s="508"/>
      <c r="CJ16" s="508"/>
      <c r="CK16" s="508"/>
      <c r="CL16" s="508"/>
      <c r="CM16" s="508"/>
      <c r="CN16" s="508"/>
      <c r="CO16" s="508"/>
      <c r="CP16" s="508"/>
      <c r="CQ16" s="508"/>
      <c r="CR16" s="508"/>
      <c r="CS16" s="508"/>
      <c r="CT16" s="508"/>
      <c r="CU16" s="508"/>
      <c r="CV16" s="508"/>
      <c r="CW16" s="508"/>
      <c r="CX16" s="508"/>
      <c r="CY16" s="508"/>
      <c r="CZ16" s="508"/>
      <c r="DA16" s="508"/>
      <c r="DB16" s="508"/>
      <c r="DC16" s="508"/>
      <c r="DD16" s="508"/>
      <c r="DE16" s="508"/>
      <c r="DF16" s="509"/>
      <c r="DG16" s="508"/>
      <c r="DH16" s="508"/>
      <c r="DI16" s="508"/>
      <c r="DJ16" s="508"/>
      <c r="DK16" s="508"/>
      <c r="DL16" s="508"/>
      <c r="DM16" s="508"/>
      <c r="DN16" s="508"/>
      <c r="DO16" s="508"/>
      <c r="DP16" s="508"/>
      <c r="DQ16" s="508"/>
      <c r="DR16" s="508"/>
      <c r="DS16" s="508"/>
      <c r="DT16" s="508"/>
      <c r="DU16" s="508"/>
      <c r="DV16" s="508"/>
      <c r="DW16" s="508"/>
      <c r="DX16" s="508"/>
      <c r="DY16" s="508"/>
      <c r="DZ16" s="508"/>
      <c r="EA16" s="508"/>
      <c r="EB16" s="508"/>
      <c r="EC16" s="508"/>
      <c r="ED16" s="508"/>
      <c r="EE16" s="508"/>
      <c r="EF16" s="508"/>
      <c r="EG16" s="508"/>
      <c r="EH16" s="508"/>
      <c r="EI16" s="508"/>
      <c r="EJ16" s="508"/>
      <c r="EK16" s="508"/>
      <c r="EL16" s="508"/>
    </row>
    <row r="17" spans="1:142" s="137" customFormat="1" ht="25.5" customHeight="1">
      <c r="A17" s="881"/>
      <c r="B17" s="881"/>
      <c r="C17" s="881"/>
      <c r="D17" s="510" t="s">
        <v>920</v>
      </c>
      <c r="E17" s="511"/>
      <c r="F17" s="510" t="s">
        <v>915</v>
      </c>
      <c r="G17" s="881"/>
      <c r="H17" s="512"/>
      <c r="I17" s="503"/>
      <c r="J17" s="503"/>
      <c r="K17" s="505" t="s">
        <v>672</v>
      </c>
      <c r="L17" s="505" t="s">
        <v>672</v>
      </c>
      <c r="M17" s="505" t="s">
        <v>672</v>
      </c>
      <c r="N17" s="505" t="s">
        <v>672</v>
      </c>
      <c r="O17" s="505" t="s">
        <v>672</v>
      </c>
      <c r="P17" s="505" t="s">
        <v>672</v>
      </c>
      <c r="Q17" s="504">
        <v>20</v>
      </c>
      <c r="R17" s="505" t="s">
        <v>672</v>
      </c>
      <c r="S17" s="505" t="s">
        <v>672</v>
      </c>
      <c r="T17" s="505" t="s">
        <v>672</v>
      </c>
      <c r="U17" s="505" t="s">
        <v>672</v>
      </c>
      <c r="V17" s="504">
        <v>20</v>
      </c>
      <c r="W17" s="504">
        <v>-20</v>
      </c>
      <c r="X17" s="503"/>
      <c r="Y17" s="506"/>
      <c r="Z17" s="506"/>
      <c r="AA17" s="506"/>
      <c r="AB17" s="506"/>
      <c r="AC17" s="506"/>
      <c r="AD17" s="506"/>
      <c r="AE17" s="506"/>
      <c r="AF17" s="507"/>
      <c r="AG17" s="507"/>
      <c r="AH17" s="507"/>
      <c r="AI17" s="508"/>
      <c r="AJ17" s="508"/>
      <c r="AK17" s="508"/>
      <c r="AL17" s="508"/>
      <c r="AM17" s="508"/>
      <c r="AN17" s="508"/>
      <c r="AO17" s="508"/>
      <c r="AP17" s="508"/>
      <c r="AQ17" s="508"/>
      <c r="AR17" s="508"/>
      <c r="AS17" s="508"/>
      <c r="AT17" s="508"/>
      <c r="AU17" s="508"/>
      <c r="AV17" s="508"/>
      <c r="AW17" s="508"/>
      <c r="AX17" s="508"/>
      <c r="AY17" s="508"/>
      <c r="AZ17" s="508"/>
      <c r="BA17" s="508"/>
      <c r="BB17" s="508"/>
      <c r="BC17" s="508"/>
      <c r="BD17" s="508"/>
      <c r="BE17" s="508"/>
      <c r="BF17" s="508"/>
      <c r="BG17" s="508"/>
      <c r="BH17" s="508"/>
      <c r="BI17" s="508"/>
      <c r="BJ17" s="508"/>
      <c r="BK17" s="508"/>
      <c r="BL17" s="508"/>
      <c r="BM17" s="508"/>
      <c r="BN17" s="508"/>
      <c r="BO17" s="508"/>
      <c r="BP17" s="508"/>
      <c r="BQ17" s="508"/>
      <c r="BR17" s="508"/>
      <c r="BS17" s="508"/>
      <c r="BT17" s="508"/>
      <c r="BU17" s="508"/>
      <c r="BV17" s="508"/>
      <c r="BW17" s="508"/>
      <c r="BX17" s="508"/>
      <c r="BY17" s="508"/>
      <c r="BZ17" s="508"/>
      <c r="CA17" s="508"/>
      <c r="CB17" s="508"/>
      <c r="CC17" s="508"/>
      <c r="CD17" s="508"/>
      <c r="CE17" s="508"/>
      <c r="CF17" s="508"/>
      <c r="CG17" s="508"/>
      <c r="CH17" s="508"/>
      <c r="CI17" s="508"/>
      <c r="CJ17" s="508"/>
      <c r="CK17" s="508"/>
      <c r="CL17" s="508"/>
      <c r="CM17" s="508"/>
      <c r="CN17" s="508"/>
      <c r="CO17" s="508"/>
      <c r="CP17" s="508"/>
      <c r="CQ17" s="508"/>
      <c r="CR17" s="508"/>
      <c r="CS17" s="508"/>
      <c r="CT17" s="508"/>
      <c r="CU17" s="508"/>
      <c r="CV17" s="508"/>
      <c r="CW17" s="508"/>
      <c r="CX17" s="508"/>
      <c r="CY17" s="508"/>
      <c r="CZ17" s="508"/>
      <c r="DA17" s="508"/>
      <c r="DB17" s="508"/>
      <c r="DC17" s="508"/>
      <c r="DD17" s="508"/>
      <c r="DE17" s="508"/>
      <c r="DF17" s="509"/>
      <c r="DG17" s="508"/>
      <c r="DH17" s="508"/>
      <c r="DI17" s="508"/>
      <c r="DJ17" s="508"/>
      <c r="DK17" s="508"/>
      <c r="DL17" s="508"/>
      <c r="DM17" s="508"/>
      <c r="DN17" s="508"/>
      <c r="DO17" s="508"/>
      <c r="DP17" s="508"/>
      <c r="DQ17" s="508"/>
      <c r="DR17" s="508"/>
      <c r="DS17" s="508"/>
      <c r="DT17" s="508"/>
      <c r="DU17" s="508"/>
      <c r="DV17" s="508"/>
      <c r="DW17" s="508"/>
      <c r="DX17" s="508"/>
      <c r="DY17" s="508"/>
      <c r="DZ17" s="508"/>
      <c r="EA17" s="508"/>
      <c r="EB17" s="508"/>
      <c r="EC17" s="508"/>
      <c r="ED17" s="508"/>
      <c r="EE17" s="508"/>
      <c r="EF17" s="508"/>
      <c r="EG17" s="508"/>
      <c r="EH17" s="508"/>
      <c r="EI17" s="508"/>
      <c r="EJ17" s="508"/>
      <c r="EK17" s="508"/>
      <c r="EL17" s="508"/>
    </row>
    <row r="18" spans="1:142" s="137" customFormat="1" ht="23.25" customHeight="1">
      <c r="A18" s="820"/>
      <c r="B18" s="881"/>
      <c r="C18" s="881"/>
      <c r="D18" s="510" t="s">
        <v>921</v>
      </c>
      <c r="E18" s="511"/>
      <c r="F18" s="510" t="s">
        <v>915</v>
      </c>
      <c r="G18" s="881"/>
      <c r="H18" s="512"/>
      <c r="I18" s="503"/>
      <c r="J18" s="503"/>
      <c r="K18" s="504">
        <f>L18+P18</f>
        <v>1244.5999999999999</v>
      </c>
      <c r="L18" s="504">
        <v>617.6</v>
      </c>
      <c r="M18" s="505" t="s">
        <v>672</v>
      </c>
      <c r="N18" s="505" t="s">
        <v>672</v>
      </c>
      <c r="O18" s="505" t="s">
        <v>672</v>
      </c>
      <c r="P18" s="504">
        <v>627</v>
      </c>
      <c r="Q18" s="504">
        <f>K18*75%</f>
        <v>933.44999999999993</v>
      </c>
      <c r="R18" s="504">
        <v>463</v>
      </c>
      <c r="S18" s="505" t="s">
        <v>672</v>
      </c>
      <c r="T18" s="505" t="s">
        <v>672</v>
      </c>
      <c r="U18" s="505" t="s">
        <v>672</v>
      </c>
      <c r="V18" s="504">
        <f>Q18-R18</f>
        <v>470.44999999999993</v>
      </c>
      <c r="W18" s="504">
        <f>K18*25%</f>
        <v>311.14999999999998</v>
      </c>
      <c r="X18" s="503"/>
      <c r="Y18" s="506"/>
      <c r="Z18" s="506"/>
      <c r="AA18" s="506"/>
      <c r="AB18" s="506"/>
      <c r="AC18" s="506"/>
      <c r="AD18" s="506"/>
      <c r="AE18" s="506"/>
      <c r="AF18" s="507"/>
      <c r="AG18" s="507"/>
      <c r="AH18" s="507"/>
      <c r="AI18" s="508"/>
      <c r="AJ18" s="508"/>
      <c r="AK18" s="508"/>
      <c r="AL18" s="508"/>
      <c r="AM18" s="508"/>
      <c r="AN18" s="508"/>
      <c r="AO18" s="508"/>
      <c r="AP18" s="508"/>
      <c r="AQ18" s="508"/>
      <c r="AR18" s="508"/>
      <c r="AS18" s="508"/>
      <c r="AT18" s="508"/>
      <c r="AU18" s="508"/>
      <c r="AV18" s="508"/>
      <c r="AW18" s="508"/>
      <c r="AX18" s="508"/>
      <c r="AY18" s="508"/>
      <c r="AZ18" s="508"/>
      <c r="BA18" s="508"/>
      <c r="BB18" s="508"/>
      <c r="BC18" s="508"/>
      <c r="BD18" s="508"/>
      <c r="BE18" s="508"/>
      <c r="BF18" s="508"/>
      <c r="BG18" s="508"/>
      <c r="BH18" s="508"/>
      <c r="BI18" s="508"/>
      <c r="BJ18" s="508"/>
      <c r="BK18" s="508"/>
      <c r="BL18" s="508"/>
      <c r="BM18" s="508"/>
      <c r="BN18" s="508"/>
      <c r="BO18" s="508"/>
      <c r="BP18" s="508"/>
      <c r="BQ18" s="508"/>
      <c r="BR18" s="508"/>
      <c r="BS18" s="508"/>
      <c r="BT18" s="508"/>
      <c r="BU18" s="508"/>
      <c r="BV18" s="508"/>
      <c r="BW18" s="508"/>
      <c r="BX18" s="508"/>
      <c r="BY18" s="508"/>
      <c r="BZ18" s="508"/>
      <c r="CA18" s="508"/>
      <c r="CB18" s="508"/>
      <c r="CC18" s="508"/>
      <c r="CD18" s="508"/>
      <c r="CE18" s="508"/>
      <c r="CF18" s="508"/>
      <c r="CG18" s="508"/>
      <c r="CH18" s="508"/>
      <c r="CI18" s="508"/>
      <c r="CJ18" s="508"/>
      <c r="CK18" s="508"/>
      <c r="CL18" s="508"/>
      <c r="CM18" s="508"/>
      <c r="CN18" s="508"/>
      <c r="CO18" s="508"/>
      <c r="CP18" s="508"/>
      <c r="CQ18" s="508"/>
      <c r="CR18" s="508"/>
      <c r="CS18" s="508"/>
      <c r="CT18" s="508"/>
      <c r="CU18" s="508"/>
      <c r="CV18" s="508"/>
      <c r="CW18" s="508"/>
      <c r="CX18" s="508"/>
      <c r="CY18" s="508"/>
      <c r="CZ18" s="508"/>
      <c r="DA18" s="508"/>
      <c r="DB18" s="508"/>
      <c r="DC18" s="508"/>
      <c r="DD18" s="508"/>
      <c r="DE18" s="508"/>
      <c r="DF18" s="509"/>
      <c r="DG18" s="508"/>
      <c r="DH18" s="508"/>
      <c r="DI18" s="508"/>
      <c r="DJ18" s="508"/>
      <c r="DK18" s="508"/>
      <c r="DL18" s="508"/>
      <c r="DM18" s="508"/>
      <c r="DN18" s="508"/>
      <c r="DO18" s="508"/>
      <c r="DP18" s="508"/>
      <c r="DQ18" s="508"/>
      <c r="DR18" s="508"/>
      <c r="DS18" s="508"/>
      <c r="DT18" s="508"/>
      <c r="DU18" s="508"/>
      <c r="DV18" s="508"/>
      <c r="DW18" s="508"/>
      <c r="DX18" s="508"/>
      <c r="DY18" s="508"/>
      <c r="DZ18" s="508"/>
      <c r="EA18" s="508"/>
      <c r="EB18" s="508"/>
      <c r="EC18" s="508"/>
      <c r="ED18" s="508"/>
      <c r="EE18" s="508"/>
      <c r="EF18" s="508"/>
      <c r="EG18" s="508"/>
      <c r="EH18" s="508"/>
      <c r="EI18" s="508"/>
      <c r="EJ18" s="508"/>
      <c r="EK18" s="508"/>
      <c r="EL18" s="508"/>
    </row>
    <row r="19" spans="1:142" s="780" customFormat="1" ht="21.75" customHeight="1">
      <c r="A19" s="510">
        <v>2</v>
      </c>
      <c r="B19" s="881"/>
      <c r="C19" s="881"/>
      <c r="D19" s="510" t="s">
        <v>922</v>
      </c>
      <c r="E19" s="514"/>
      <c r="F19" s="510" t="s">
        <v>915</v>
      </c>
      <c r="G19" s="881"/>
      <c r="H19" s="515"/>
      <c r="I19" s="516"/>
      <c r="J19" s="516"/>
      <c r="K19" s="515">
        <v>3773</v>
      </c>
      <c r="L19" s="517" t="s">
        <v>672</v>
      </c>
      <c r="M19" s="518" t="s">
        <v>672</v>
      </c>
      <c r="N19" s="518" t="s">
        <v>672</v>
      </c>
      <c r="O19" s="518" t="s">
        <v>672</v>
      </c>
      <c r="P19" s="515">
        <v>3773</v>
      </c>
      <c r="Q19" s="519">
        <f>K19*75%</f>
        <v>2829.75</v>
      </c>
      <c r="R19" s="517" t="s">
        <v>672</v>
      </c>
      <c r="S19" s="518" t="s">
        <v>672</v>
      </c>
      <c r="T19" s="518" t="s">
        <v>672</v>
      </c>
      <c r="U19" s="518" t="s">
        <v>672</v>
      </c>
      <c r="V19" s="515">
        <v>2830</v>
      </c>
      <c r="W19" s="520">
        <f>K19*25%</f>
        <v>943.25</v>
      </c>
      <c r="X19" s="516"/>
      <c r="Y19" s="516"/>
      <c r="Z19" s="516"/>
      <c r="AA19" s="516"/>
      <c r="AB19" s="516"/>
      <c r="AC19" s="516"/>
      <c r="AD19" s="516"/>
      <c r="AE19" s="516"/>
      <c r="AF19" s="515"/>
      <c r="AG19" s="515"/>
      <c r="AH19" s="515"/>
      <c r="AI19" s="516"/>
      <c r="AJ19" s="516"/>
      <c r="AK19" s="516"/>
      <c r="AL19" s="516"/>
      <c r="AM19" s="516"/>
      <c r="AN19" s="516"/>
      <c r="AO19" s="516"/>
      <c r="AP19" s="516"/>
      <c r="AQ19" s="516"/>
      <c r="AR19" s="516"/>
      <c r="AS19" s="516"/>
      <c r="AT19" s="516"/>
      <c r="AU19" s="516"/>
      <c r="AV19" s="516"/>
      <c r="AW19" s="516"/>
      <c r="AX19" s="516"/>
      <c r="AY19" s="516"/>
      <c r="AZ19" s="516"/>
      <c r="BA19" s="516"/>
      <c r="BB19" s="516"/>
      <c r="BC19" s="516"/>
      <c r="BD19" s="516"/>
      <c r="BE19" s="516"/>
      <c r="BF19" s="516"/>
      <c r="BG19" s="516"/>
      <c r="BH19" s="516"/>
      <c r="BI19" s="516"/>
      <c r="BJ19" s="516"/>
      <c r="BK19" s="516"/>
      <c r="BL19" s="516"/>
      <c r="BM19" s="516"/>
      <c r="BN19" s="516"/>
      <c r="BO19" s="516"/>
      <c r="BP19" s="516"/>
      <c r="BQ19" s="516"/>
      <c r="BR19" s="516"/>
      <c r="BS19" s="515"/>
      <c r="BT19" s="516"/>
      <c r="BU19" s="516"/>
      <c r="BV19" s="516"/>
      <c r="BW19" s="515"/>
      <c r="BX19" s="515"/>
      <c r="BY19" s="515"/>
      <c r="BZ19" s="515"/>
      <c r="CA19" s="515"/>
      <c r="CB19" s="515"/>
      <c r="CC19" s="516"/>
      <c r="CD19" s="516"/>
      <c r="CE19" s="516"/>
      <c r="CF19" s="516"/>
      <c r="CG19" s="515"/>
      <c r="CH19" s="515"/>
      <c r="CI19" s="515"/>
      <c r="CJ19" s="515"/>
      <c r="CK19" s="515"/>
      <c r="CL19" s="516"/>
      <c r="CM19" s="516"/>
      <c r="CN19" s="516"/>
      <c r="CO19" s="515"/>
      <c r="CP19" s="515"/>
      <c r="CQ19" s="515"/>
      <c r="CR19" s="515"/>
      <c r="CS19" s="515"/>
      <c r="CT19" s="515"/>
      <c r="CU19" s="515"/>
      <c r="CV19" s="516"/>
      <c r="CW19" s="516"/>
      <c r="CX19" s="515"/>
      <c r="CY19" s="515"/>
      <c r="CZ19" s="515"/>
      <c r="DA19" s="515"/>
      <c r="DB19" s="515"/>
      <c r="DC19" s="515"/>
      <c r="DD19" s="515"/>
      <c r="DE19" s="516"/>
      <c r="DF19" s="516"/>
      <c r="DG19" s="515"/>
      <c r="DH19" s="515"/>
      <c r="DI19" s="515"/>
      <c r="DJ19" s="515"/>
      <c r="DK19" s="515"/>
      <c r="DL19" s="515"/>
      <c r="DM19" s="515"/>
      <c r="DN19" s="516"/>
      <c r="DO19" s="516"/>
      <c r="DP19" s="515"/>
      <c r="DQ19" s="515"/>
      <c r="DR19" s="515"/>
      <c r="DS19" s="515"/>
      <c r="DT19" s="515"/>
      <c r="DU19" s="515"/>
      <c r="DV19" s="515"/>
      <c r="DW19" s="516"/>
      <c r="DX19" s="516"/>
      <c r="DY19" s="515"/>
      <c r="DZ19" s="515"/>
      <c r="EA19" s="515"/>
      <c r="EB19" s="515"/>
      <c r="EC19" s="515"/>
      <c r="ED19" s="515"/>
      <c r="EE19" s="515"/>
      <c r="EF19" s="516"/>
      <c r="EG19" s="516"/>
      <c r="EH19" s="515"/>
      <c r="EI19" s="515"/>
      <c r="EJ19" s="515"/>
      <c r="EK19" s="515"/>
      <c r="EL19" s="515"/>
    </row>
    <row r="20" spans="1:142" s="780" customFormat="1" ht="21.75" customHeight="1">
      <c r="A20" s="510">
        <v>3</v>
      </c>
      <c r="B20" s="820"/>
      <c r="C20" s="820"/>
      <c r="D20" s="510" t="s">
        <v>923</v>
      </c>
      <c r="E20" s="514"/>
      <c r="F20" s="510" t="s">
        <v>915</v>
      </c>
      <c r="G20" s="820"/>
      <c r="H20" s="515"/>
      <c r="I20" s="516"/>
      <c r="J20" s="516"/>
      <c r="K20" s="515">
        <f>L20+P20</f>
        <v>2495</v>
      </c>
      <c r="L20" s="515">
        <v>138</v>
      </c>
      <c r="M20" s="518" t="s">
        <v>672</v>
      </c>
      <c r="N20" s="518" t="s">
        <v>672</v>
      </c>
      <c r="O20" s="518" t="s">
        <v>672</v>
      </c>
      <c r="P20" s="515">
        <v>2357</v>
      </c>
      <c r="Q20" s="517" t="s">
        <v>672</v>
      </c>
      <c r="R20" s="517" t="s">
        <v>672</v>
      </c>
      <c r="S20" s="518" t="s">
        <v>672</v>
      </c>
      <c r="T20" s="518" t="s">
        <v>672</v>
      </c>
      <c r="U20" s="518" t="s">
        <v>672</v>
      </c>
      <c r="V20" s="515">
        <v>0</v>
      </c>
      <c r="W20" s="516">
        <v>2495</v>
      </c>
      <c r="X20" s="516"/>
      <c r="Y20" s="516"/>
      <c r="Z20" s="516"/>
      <c r="AA20" s="516"/>
      <c r="AB20" s="516"/>
      <c r="AC20" s="516"/>
      <c r="AD20" s="516"/>
      <c r="AE20" s="516"/>
      <c r="AF20" s="515"/>
      <c r="AG20" s="515"/>
      <c r="AH20" s="515"/>
      <c r="AI20" s="516"/>
      <c r="AJ20" s="516"/>
      <c r="AK20" s="516"/>
      <c r="AL20" s="516"/>
      <c r="AM20" s="516"/>
      <c r="AN20" s="516"/>
      <c r="AO20" s="516"/>
      <c r="AP20" s="516"/>
      <c r="AQ20" s="516"/>
      <c r="AR20" s="516"/>
      <c r="AS20" s="516"/>
      <c r="AT20" s="516"/>
      <c r="AU20" s="516"/>
      <c r="AV20" s="516"/>
      <c r="AW20" s="516"/>
      <c r="AX20" s="516"/>
      <c r="AY20" s="516"/>
      <c r="AZ20" s="516"/>
      <c r="BA20" s="516"/>
      <c r="BB20" s="516"/>
      <c r="BC20" s="516"/>
      <c r="BD20" s="516"/>
      <c r="BE20" s="516"/>
      <c r="BF20" s="516"/>
      <c r="BG20" s="516"/>
      <c r="BH20" s="516"/>
      <c r="BI20" s="516"/>
      <c r="BJ20" s="516"/>
      <c r="BK20" s="516"/>
      <c r="BL20" s="516"/>
      <c r="BM20" s="516"/>
      <c r="BN20" s="516"/>
      <c r="BO20" s="516"/>
      <c r="BP20" s="516"/>
      <c r="BQ20" s="516"/>
      <c r="BR20" s="516"/>
      <c r="BS20" s="515"/>
      <c r="BT20" s="516"/>
      <c r="BU20" s="516"/>
      <c r="BV20" s="516"/>
      <c r="BW20" s="515"/>
      <c r="BX20" s="515"/>
      <c r="BY20" s="515"/>
      <c r="BZ20" s="515"/>
      <c r="CA20" s="515"/>
      <c r="CB20" s="515"/>
      <c r="CC20" s="516"/>
      <c r="CD20" s="516"/>
      <c r="CE20" s="516"/>
      <c r="CF20" s="516"/>
      <c r="CG20" s="515"/>
      <c r="CH20" s="515"/>
      <c r="CI20" s="515"/>
      <c r="CJ20" s="515"/>
      <c r="CK20" s="515"/>
      <c r="CL20" s="516"/>
      <c r="CM20" s="516"/>
      <c r="CN20" s="516"/>
      <c r="CO20" s="515"/>
      <c r="CP20" s="515"/>
      <c r="CQ20" s="515"/>
      <c r="CR20" s="515"/>
      <c r="CS20" s="515"/>
      <c r="CT20" s="515"/>
      <c r="CU20" s="515"/>
      <c r="CV20" s="516"/>
      <c r="CW20" s="516"/>
      <c r="CX20" s="515"/>
      <c r="CY20" s="515"/>
      <c r="CZ20" s="515"/>
      <c r="DA20" s="515"/>
      <c r="DB20" s="515"/>
      <c r="DC20" s="515"/>
      <c r="DD20" s="515"/>
      <c r="DE20" s="516"/>
      <c r="DF20" s="516"/>
      <c r="DG20" s="515"/>
      <c r="DH20" s="515"/>
      <c r="DI20" s="515"/>
      <c r="DJ20" s="515"/>
      <c r="DK20" s="515"/>
      <c r="DL20" s="515"/>
      <c r="DM20" s="515"/>
      <c r="DN20" s="516"/>
      <c r="DO20" s="516"/>
      <c r="DP20" s="515"/>
      <c r="DQ20" s="515"/>
      <c r="DR20" s="515"/>
      <c r="DS20" s="515"/>
      <c r="DT20" s="515"/>
      <c r="DU20" s="515"/>
      <c r="DV20" s="515"/>
      <c r="DW20" s="516"/>
      <c r="DX20" s="516"/>
      <c r="DY20" s="515"/>
      <c r="DZ20" s="515"/>
      <c r="EA20" s="515"/>
      <c r="EB20" s="515"/>
      <c r="EC20" s="515"/>
      <c r="ED20" s="515"/>
      <c r="EE20" s="515"/>
      <c r="EF20" s="516"/>
      <c r="EG20" s="516"/>
      <c r="EH20" s="515"/>
      <c r="EI20" s="515"/>
      <c r="EJ20" s="515"/>
      <c r="EK20" s="515"/>
      <c r="EL20" s="515"/>
    </row>
    <row r="21" spans="1:142" s="781" customFormat="1" ht="21.75" customHeight="1">
      <c r="A21" s="843" t="s">
        <v>924</v>
      </c>
      <c r="B21" s="807"/>
      <c r="C21" s="807"/>
      <c r="D21" s="851"/>
      <c r="E21" s="851"/>
      <c r="F21" s="851"/>
      <c r="G21" s="521">
        <f t="shared" ref="G21:AL21" si="2">SUM(G9:G20)</f>
        <v>0</v>
      </c>
      <c r="H21" s="521">
        <f t="shared" si="2"/>
        <v>0</v>
      </c>
      <c r="I21" s="522">
        <f t="shared" si="2"/>
        <v>0</v>
      </c>
      <c r="J21" s="522">
        <f t="shared" si="2"/>
        <v>0</v>
      </c>
      <c r="K21" s="523">
        <f t="shared" si="2"/>
        <v>18220.099999999999</v>
      </c>
      <c r="L21" s="523">
        <f t="shared" si="2"/>
        <v>3903.6</v>
      </c>
      <c r="M21" s="523">
        <f t="shared" si="2"/>
        <v>1461</v>
      </c>
      <c r="N21" s="523">
        <f t="shared" si="2"/>
        <v>0</v>
      </c>
      <c r="O21" s="523">
        <f t="shared" si="2"/>
        <v>0</v>
      </c>
      <c r="P21" s="523">
        <f t="shared" si="2"/>
        <v>13199.5</v>
      </c>
      <c r="Q21" s="523">
        <f t="shared" si="2"/>
        <v>11915.825000000001</v>
      </c>
      <c r="R21" s="523">
        <f t="shared" si="2"/>
        <v>2824.5</v>
      </c>
      <c r="S21" s="523">
        <f t="shared" si="2"/>
        <v>1096</v>
      </c>
      <c r="T21" s="523">
        <f t="shared" si="2"/>
        <v>0</v>
      </c>
      <c r="U21" s="523">
        <f t="shared" si="2"/>
        <v>0</v>
      </c>
      <c r="V21" s="523">
        <f t="shared" si="2"/>
        <v>7995.5749999999998</v>
      </c>
      <c r="W21" s="522">
        <f t="shared" si="2"/>
        <v>6304.2749999999996</v>
      </c>
      <c r="X21" s="522">
        <f t="shared" si="2"/>
        <v>0</v>
      </c>
      <c r="Y21" s="522">
        <f t="shared" si="2"/>
        <v>0</v>
      </c>
      <c r="Z21" s="522">
        <f t="shared" si="2"/>
        <v>0</v>
      </c>
      <c r="AA21" s="522">
        <f t="shared" si="2"/>
        <v>0</v>
      </c>
      <c r="AB21" s="522">
        <f t="shared" si="2"/>
        <v>0</v>
      </c>
      <c r="AC21" s="522">
        <f t="shared" si="2"/>
        <v>0</v>
      </c>
      <c r="AD21" s="522">
        <f t="shared" si="2"/>
        <v>0</v>
      </c>
      <c r="AE21" s="522">
        <f t="shared" si="2"/>
        <v>0</v>
      </c>
      <c r="AF21" s="523">
        <f t="shared" si="2"/>
        <v>0</v>
      </c>
      <c r="AG21" s="523">
        <f t="shared" si="2"/>
        <v>0</v>
      </c>
      <c r="AH21" s="523">
        <f t="shared" si="2"/>
        <v>0</v>
      </c>
      <c r="AI21" s="522">
        <f t="shared" si="2"/>
        <v>0</v>
      </c>
      <c r="AJ21" s="522">
        <f t="shared" si="2"/>
        <v>0</v>
      </c>
      <c r="AK21" s="522">
        <f t="shared" si="2"/>
        <v>0</v>
      </c>
      <c r="AL21" s="522">
        <f t="shared" si="2"/>
        <v>0</v>
      </c>
      <c r="AM21" s="522">
        <f t="shared" ref="AM21:BR21" si="3">SUM(AM9:AM20)</f>
        <v>0</v>
      </c>
      <c r="AN21" s="522">
        <f t="shared" si="3"/>
        <v>0</v>
      </c>
      <c r="AO21" s="522">
        <f t="shared" si="3"/>
        <v>0</v>
      </c>
      <c r="AP21" s="522">
        <f t="shared" si="3"/>
        <v>0</v>
      </c>
      <c r="AQ21" s="522">
        <f t="shared" si="3"/>
        <v>0</v>
      </c>
      <c r="AR21" s="522">
        <f t="shared" si="3"/>
        <v>0</v>
      </c>
      <c r="AS21" s="522">
        <f t="shared" si="3"/>
        <v>0</v>
      </c>
      <c r="AT21" s="522">
        <f t="shared" si="3"/>
        <v>0</v>
      </c>
      <c r="AU21" s="522">
        <f t="shared" si="3"/>
        <v>0</v>
      </c>
      <c r="AV21" s="522">
        <f t="shared" si="3"/>
        <v>0</v>
      </c>
      <c r="AW21" s="522">
        <f t="shared" si="3"/>
        <v>0</v>
      </c>
      <c r="AX21" s="522">
        <f t="shared" si="3"/>
        <v>0</v>
      </c>
      <c r="AY21" s="522">
        <f t="shared" si="3"/>
        <v>0</v>
      </c>
      <c r="AZ21" s="522">
        <f t="shared" si="3"/>
        <v>0</v>
      </c>
      <c r="BA21" s="522">
        <f t="shared" si="3"/>
        <v>0</v>
      </c>
      <c r="BB21" s="522">
        <f t="shared" si="3"/>
        <v>0</v>
      </c>
      <c r="BC21" s="522">
        <f t="shared" si="3"/>
        <v>0</v>
      </c>
      <c r="BD21" s="522">
        <f t="shared" si="3"/>
        <v>0</v>
      </c>
      <c r="BE21" s="522">
        <f t="shared" si="3"/>
        <v>0</v>
      </c>
      <c r="BF21" s="522">
        <f t="shared" si="3"/>
        <v>0</v>
      </c>
      <c r="BG21" s="522">
        <f t="shared" si="3"/>
        <v>0</v>
      </c>
      <c r="BH21" s="522">
        <f t="shared" si="3"/>
        <v>0</v>
      </c>
      <c r="BI21" s="522">
        <f t="shared" si="3"/>
        <v>0</v>
      </c>
      <c r="BJ21" s="522">
        <f t="shared" si="3"/>
        <v>0</v>
      </c>
      <c r="BK21" s="522">
        <f t="shared" si="3"/>
        <v>0</v>
      </c>
      <c r="BL21" s="522">
        <f t="shared" si="3"/>
        <v>0</v>
      </c>
      <c r="BM21" s="522">
        <f t="shared" si="3"/>
        <v>0</v>
      </c>
      <c r="BN21" s="522">
        <f t="shared" si="3"/>
        <v>0</v>
      </c>
      <c r="BO21" s="522">
        <f t="shared" si="3"/>
        <v>0</v>
      </c>
      <c r="BP21" s="522">
        <f t="shared" si="3"/>
        <v>0</v>
      </c>
      <c r="BQ21" s="522">
        <f t="shared" si="3"/>
        <v>0</v>
      </c>
      <c r="BR21" s="522">
        <f t="shared" si="3"/>
        <v>0</v>
      </c>
      <c r="BS21" s="523">
        <f t="shared" ref="BS21:CX21" si="4">SUM(BS9:BS20)</f>
        <v>0</v>
      </c>
      <c r="BT21" s="522">
        <f t="shared" si="4"/>
        <v>0</v>
      </c>
      <c r="BU21" s="522">
        <f t="shared" si="4"/>
        <v>0</v>
      </c>
      <c r="BV21" s="522">
        <f t="shared" si="4"/>
        <v>0</v>
      </c>
      <c r="BW21" s="523">
        <f t="shared" si="4"/>
        <v>0</v>
      </c>
      <c r="BX21" s="523">
        <f t="shared" si="4"/>
        <v>0</v>
      </c>
      <c r="BY21" s="523">
        <f t="shared" si="4"/>
        <v>0</v>
      </c>
      <c r="BZ21" s="523">
        <f t="shared" si="4"/>
        <v>0</v>
      </c>
      <c r="CA21" s="523">
        <f t="shared" si="4"/>
        <v>0</v>
      </c>
      <c r="CB21" s="523">
        <f t="shared" si="4"/>
        <v>0</v>
      </c>
      <c r="CC21" s="522">
        <f t="shared" si="4"/>
        <v>0</v>
      </c>
      <c r="CD21" s="522">
        <f t="shared" si="4"/>
        <v>0</v>
      </c>
      <c r="CE21" s="522">
        <f t="shared" si="4"/>
        <v>0</v>
      </c>
      <c r="CF21" s="522">
        <f t="shared" si="4"/>
        <v>0</v>
      </c>
      <c r="CG21" s="523">
        <f t="shared" si="4"/>
        <v>0</v>
      </c>
      <c r="CH21" s="523">
        <f t="shared" si="4"/>
        <v>0</v>
      </c>
      <c r="CI21" s="523">
        <f t="shared" si="4"/>
        <v>0</v>
      </c>
      <c r="CJ21" s="523">
        <f t="shared" si="4"/>
        <v>0</v>
      </c>
      <c r="CK21" s="523">
        <f t="shared" si="4"/>
        <v>0</v>
      </c>
      <c r="CL21" s="522">
        <f t="shared" si="4"/>
        <v>0</v>
      </c>
      <c r="CM21" s="522">
        <f t="shared" si="4"/>
        <v>0</v>
      </c>
      <c r="CN21" s="522">
        <f t="shared" si="4"/>
        <v>0</v>
      </c>
      <c r="CO21" s="523">
        <f t="shared" si="4"/>
        <v>0</v>
      </c>
      <c r="CP21" s="523">
        <f t="shared" si="4"/>
        <v>0</v>
      </c>
      <c r="CQ21" s="523">
        <f t="shared" si="4"/>
        <v>0</v>
      </c>
      <c r="CR21" s="523">
        <f t="shared" si="4"/>
        <v>0</v>
      </c>
      <c r="CS21" s="523">
        <f t="shared" si="4"/>
        <v>0</v>
      </c>
      <c r="CT21" s="523">
        <f t="shared" si="4"/>
        <v>0</v>
      </c>
      <c r="CU21" s="523">
        <f t="shared" si="4"/>
        <v>0</v>
      </c>
      <c r="CV21" s="522">
        <f t="shared" si="4"/>
        <v>0</v>
      </c>
      <c r="CW21" s="522">
        <f t="shared" si="4"/>
        <v>0</v>
      </c>
      <c r="CX21" s="523">
        <f t="shared" si="4"/>
        <v>0</v>
      </c>
      <c r="CY21" s="523">
        <f t="shared" ref="CY21:ED21" si="5">SUM(CY9:CY20)</f>
        <v>0</v>
      </c>
      <c r="CZ21" s="523">
        <f t="shared" si="5"/>
        <v>0</v>
      </c>
      <c r="DA21" s="523">
        <f t="shared" si="5"/>
        <v>0</v>
      </c>
      <c r="DB21" s="523">
        <f t="shared" si="5"/>
        <v>0</v>
      </c>
      <c r="DC21" s="523">
        <f t="shared" si="5"/>
        <v>0</v>
      </c>
      <c r="DD21" s="523">
        <f t="shared" si="5"/>
        <v>0</v>
      </c>
      <c r="DE21" s="522">
        <f t="shared" si="5"/>
        <v>0</v>
      </c>
      <c r="DF21" s="522">
        <f t="shared" si="5"/>
        <v>0</v>
      </c>
      <c r="DG21" s="523">
        <f t="shared" si="5"/>
        <v>0</v>
      </c>
      <c r="DH21" s="523">
        <f t="shared" si="5"/>
        <v>0</v>
      </c>
      <c r="DI21" s="523">
        <f t="shared" si="5"/>
        <v>0</v>
      </c>
      <c r="DJ21" s="523">
        <f t="shared" si="5"/>
        <v>0</v>
      </c>
      <c r="DK21" s="523">
        <f t="shared" si="5"/>
        <v>0</v>
      </c>
      <c r="DL21" s="523">
        <f t="shared" si="5"/>
        <v>0</v>
      </c>
      <c r="DM21" s="523">
        <f t="shared" si="5"/>
        <v>0</v>
      </c>
      <c r="DN21" s="522">
        <f t="shared" si="5"/>
        <v>0</v>
      </c>
      <c r="DO21" s="522">
        <f t="shared" si="5"/>
        <v>0</v>
      </c>
      <c r="DP21" s="523">
        <f t="shared" si="5"/>
        <v>0</v>
      </c>
      <c r="DQ21" s="523">
        <f t="shared" si="5"/>
        <v>0</v>
      </c>
      <c r="DR21" s="523">
        <f t="shared" si="5"/>
        <v>0</v>
      </c>
      <c r="DS21" s="523">
        <f t="shared" si="5"/>
        <v>0</v>
      </c>
      <c r="DT21" s="523">
        <f t="shared" si="5"/>
        <v>0</v>
      </c>
      <c r="DU21" s="523">
        <f t="shared" si="5"/>
        <v>0</v>
      </c>
      <c r="DV21" s="523">
        <f t="shared" si="5"/>
        <v>0</v>
      </c>
      <c r="DW21" s="522">
        <f t="shared" si="5"/>
        <v>0</v>
      </c>
      <c r="DX21" s="522">
        <f t="shared" si="5"/>
        <v>0</v>
      </c>
      <c r="DY21" s="523">
        <f t="shared" si="5"/>
        <v>0</v>
      </c>
      <c r="DZ21" s="523">
        <f t="shared" si="5"/>
        <v>0</v>
      </c>
      <c r="EA21" s="523">
        <f t="shared" si="5"/>
        <v>0</v>
      </c>
      <c r="EB21" s="523">
        <f t="shared" si="5"/>
        <v>0</v>
      </c>
      <c r="EC21" s="523">
        <f t="shared" si="5"/>
        <v>0</v>
      </c>
      <c r="ED21" s="523">
        <f t="shared" si="5"/>
        <v>0</v>
      </c>
      <c r="EE21" s="523">
        <f t="shared" ref="EE21:FJ21" si="6">SUM(EE9:EE20)</f>
        <v>0</v>
      </c>
      <c r="EF21" s="522">
        <f t="shared" si="6"/>
        <v>0</v>
      </c>
      <c r="EG21" s="522">
        <f t="shared" si="6"/>
        <v>0</v>
      </c>
      <c r="EH21" s="523">
        <f t="shared" si="6"/>
        <v>0</v>
      </c>
      <c r="EI21" s="523">
        <f t="shared" si="6"/>
        <v>0</v>
      </c>
      <c r="EJ21" s="523">
        <f t="shared" si="6"/>
        <v>0</v>
      </c>
      <c r="EK21" s="523">
        <f t="shared" si="6"/>
        <v>0</v>
      </c>
      <c r="EL21" s="523">
        <f t="shared" si="6"/>
        <v>0</v>
      </c>
    </row>
    <row r="22" spans="1:142" s="778" customFormat="1" ht="30" customHeight="1">
      <c r="A22" s="493" t="s">
        <v>925</v>
      </c>
      <c r="B22" s="494"/>
      <c r="C22" s="494" t="s">
        <v>926</v>
      </c>
      <c r="D22" s="524"/>
      <c r="E22" s="524"/>
      <c r="F22" s="525" t="s">
        <v>911</v>
      </c>
      <c r="G22" s="524"/>
      <c r="H22" s="524"/>
      <c r="I22" s="490"/>
      <c r="J22" s="490"/>
      <c r="K22" s="490"/>
      <c r="L22" s="490"/>
      <c r="M22" s="490"/>
      <c r="N22" s="490"/>
      <c r="O22" s="490"/>
      <c r="P22" s="490"/>
      <c r="Q22" s="490"/>
      <c r="R22" s="490"/>
      <c r="S22" s="490"/>
      <c r="T22" s="490"/>
      <c r="U22" s="490"/>
      <c r="V22" s="490"/>
      <c r="W22" s="490"/>
      <c r="X22" s="526"/>
      <c r="Y22" s="526"/>
      <c r="Z22" s="526"/>
      <c r="AA22" s="526"/>
      <c r="AB22" s="526"/>
      <c r="AC22" s="526"/>
      <c r="AD22" s="526"/>
      <c r="AE22" s="526"/>
      <c r="AF22" s="526"/>
      <c r="AG22" s="526"/>
      <c r="AH22" s="526"/>
      <c r="AI22" s="497"/>
      <c r="AJ22" s="497"/>
      <c r="AK22" s="497"/>
      <c r="AL22" s="497"/>
      <c r="AM22" s="497"/>
      <c r="AN22" s="497"/>
      <c r="AO22" s="497"/>
      <c r="AP22" s="497"/>
      <c r="AQ22" s="497"/>
      <c r="AR22" s="497"/>
      <c r="AS22" s="497"/>
      <c r="AT22" s="497"/>
      <c r="AU22" s="497"/>
      <c r="AV22" s="497"/>
      <c r="AW22" s="497"/>
      <c r="AX22" s="497"/>
      <c r="AY22" s="497"/>
      <c r="AZ22" s="497"/>
      <c r="BA22" s="497"/>
      <c r="BB22" s="497"/>
      <c r="BC22" s="497"/>
      <c r="BD22" s="497"/>
      <c r="BE22" s="497"/>
      <c r="BF22" s="497"/>
      <c r="BG22" s="497"/>
      <c r="BH22" s="497"/>
      <c r="BI22" s="497"/>
      <c r="BJ22" s="497"/>
      <c r="BK22" s="497"/>
      <c r="BL22" s="497"/>
      <c r="BM22" s="497"/>
      <c r="BN22" s="497"/>
      <c r="BO22" s="497"/>
      <c r="BP22" s="497"/>
      <c r="BQ22" s="497"/>
      <c r="BR22" s="497"/>
      <c r="BS22" s="497"/>
      <c r="BT22" s="497"/>
      <c r="BU22" s="497"/>
      <c r="BV22" s="497"/>
      <c r="BW22" s="497"/>
      <c r="BX22" s="497"/>
      <c r="BY22" s="497"/>
      <c r="BZ22" s="497"/>
      <c r="CA22" s="497"/>
      <c r="CB22" s="497"/>
      <c r="CC22" s="497"/>
      <c r="CD22" s="497"/>
      <c r="CE22" s="497"/>
      <c r="CF22" s="497"/>
      <c r="CG22" s="497"/>
      <c r="CH22" s="497"/>
      <c r="CI22" s="497"/>
      <c r="CJ22" s="497"/>
      <c r="CK22" s="497"/>
      <c r="CL22" s="497"/>
      <c r="CM22" s="497"/>
      <c r="CN22" s="497"/>
      <c r="CO22" s="497"/>
      <c r="CP22" s="497"/>
      <c r="CQ22" s="497"/>
      <c r="CR22" s="497"/>
      <c r="CS22" s="497"/>
      <c r="CT22" s="497"/>
      <c r="CU22" s="497"/>
      <c r="CV22" s="497"/>
      <c r="CW22" s="497"/>
      <c r="CX22" s="497"/>
      <c r="CY22" s="497"/>
      <c r="CZ22" s="497"/>
      <c r="DA22" s="497"/>
      <c r="DB22" s="497"/>
      <c r="DC22" s="497"/>
      <c r="DD22" s="497"/>
      <c r="DE22" s="497"/>
      <c r="DF22" s="498"/>
      <c r="DG22" s="497"/>
      <c r="DH22" s="497"/>
      <c r="DI22" s="497"/>
      <c r="DJ22" s="497"/>
      <c r="DK22" s="497"/>
      <c r="DL22" s="497"/>
      <c r="DM22" s="497"/>
      <c r="DN22" s="497"/>
      <c r="DO22" s="497"/>
      <c r="DP22" s="497"/>
      <c r="DQ22" s="497"/>
      <c r="DR22" s="497"/>
      <c r="DS22" s="497"/>
      <c r="DT22" s="497"/>
      <c r="DU22" s="497"/>
      <c r="DV22" s="497"/>
      <c r="DW22" s="497"/>
      <c r="DX22" s="497"/>
      <c r="DY22" s="497"/>
      <c r="DZ22" s="497"/>
      <c r="EA22" s="497"/>
      <c r="EB22" s="497"/>
      <c r="EC22" s="497"/>
      <c r="ED22" s="497"/>
      <c r="EE22" s="497"/>
      <c r="EF22" s="497"/>
      <c r="EG22" s="497"/>
      <c r="EH22" s="497"/>
      <c r="EI22" s="497"/>
      <c r="EJ22" s="497"/>
      <c r="EK22" s="497"/>
      <c r="EL22" s="497"/>
    </row>
    <row r="23" spans="1:142" s="137" customFormat="1" ht="44.25" customHeight="1">
      <c r="A23" s="527">
        <v>1</v>
      </c>
      <c r="B23" s="888" t="s">
        <v>927</v>
      </c>
      <c r="C23" s="528" t="s">
        <v>928</v>
      </c>
      <c r="D23" s="527" t="s">
        <v>928</v>
      </c>
      <c r="E23" s="452"/>
      <c r="F23" s="527" t="s">
        <v>929</v>
      </c>
      <c r="G23" s="504">
        <v>1000</v>
      </c>
      <c r="H23" s="504"/>
      <c r="I23" s="504"/>
      <c r="J23" s="504"/>
      <c r="K23" s="504">
        <v>400</v>
      </c>
      <c r="L23" s="504"/>
      <c r="M23" s="504"/>
      <c r="N23" s="504"/>
      <c r="O23" s="504"/>
      <c r="P23" s="504">
        <v>400</v>
      </c>
      <c r="Q23" s="504">
        <v>280</v>
      </c>
      <c r="R23" s="504"/>
      <c r="S23" s="504"/>
      <c r="T23" s="504"/>
      <c r="U23" s="504"/>
      <c r="V23" s="504">
        <v>280</v>
      </c>
      <c r="W23" s="504">
        <v>120</v>
      </c>
      <c r="X23" s="504"/>
      <c r="Y23" s="529"/>
      <c r="Z23" s="529"/>
      <c r="AA23" s="529"/>
      <c r="AB23" s="529"/>
      <c r="AC23" s="529"/>
      <c r="AD23" s="529"/>
      <c r="AE23" s="529"/>
      <c r="AF23" s="507"/>
      <c r="AG23" s="507"/>
      <c r="AH23" s="507"/>
      <c r="AI23" s="508"/>
      <c r="AJ23" s="508"/>
      <c r="AK23" s="508"/>
      <c r="AL23" s="508"/>
      <c r="AM23" s="508"/>
      <c r="AN23" s="508"/>
      <c r="AO23" s="508"/>
      <c r="AP23" s="508"/>
      <c r="AQ23" s="508"/>
      <c r="AR23" s="508"/>
      <c r="AS23" s="508"/>
      <c r="AT23" s="508"/>
      <c r="AU23" s="508"/>
      <c r="AV23" s="508"/>
      <c r="AW23" s="508"/>
      <c r="AX23" s="508"/>
      <c r="AY23" s="508"/>
      <c r="AZ23" s="508"/>
      <c r="BA23" s="508"/>
      <c r="BB23" s="508"/>
      <c r="BC23" s="508"/>
      <c r="BD23" s="508"/>
      <c r="BE23" s="508"/>
      <c r="BF23" s="508"/>
      <c r="BG23" s="508"/>
      <c r="BH23" s="508"/>
      <c r="BI23" s="508"/>
      <c r="BJ23" s="508"/>
      <c r="BK23" s="508"/>
      <c r="BL23" s="508"/>
      <c r="BM23" s="508"/>
      <c r="BN23" s="508"/>
      <c r="BO23" s="508"/>
      <c r="BP23" s="508"/>
      <c r="BQ23" s="508"/>
      <c r="BR23" s="508"/>
      <c r="BS23" s="508"/>
      <c r="BT23" s="508"/>
      <c r="BU23" s="508"/>
      <c r="BV23" s="508"/>
      <c r="BW23" s="508"/>
      <c r="BX23" s="508"/>
      <c r="BY23" s="508"/>
      <c r="BZ23" s="508"/>
      <c r="CA23" s="508"/>
      <c r="CB23" s="508"/>
      <c r="CC23" s="508"/>
      <c r="CD23" s="508"/>
      <c r="CE23" s="508"/>
      <c r="CF23" s="508"/>
      <c r="CG23" s="508"/>
      <c r="CH23" s="508"/>
      <c r="CI23" s="508"/>
      <c r="CJ23" s="508"/>
      <c r="CK23" s="508"/>
      <c r="CL23" s="508"/>
      <c r="CM23" s="508"/>
      <c r="CN23" s="508"/>
      <c r="CO23" s="508"/>
      <c r="CP23" s="508"/>
      <c r="CQ23" s="508"/>
      <c r="CR23" s="508"/>
      <c r="CS23" s="508"/>
      <c r="CT23" s="508"/>
      <c r="CU23" s="508"/>
      <c r="CV23" s="508"/>
      <c r="CW23" s="508"/>
      <c r="CX23" s="508"/>
      <c r="CY23" s="508"/>
      <c r="CZ23" s="508"/>
      <c r="DA23" s="508"/>
      <c r="DB23" s="508"/>
      <c r="DC23" s="508"/>
      <c r="DD23" s="508"/>
      <c r="DE23" s="508"/>
      <c r="DF23" s="509"/>
      <c r="DG23" s="508"/>
      <c r="DH23" s="508"/>
      <c r="DI23" s="508"/>
      <c r="DJ23" s="508"/>
      <c r="DK23" s="508"/>
      <c r="DL23" s="508"/>
      <c r="DM23" s="508"/>
      <c r="DN23" s="508"/>
      <c r="DO23" s="508"/>
      <c r="DP23" s="508"/>
      <c r="DQ23" s="508"/>
      <c r="DR23" s="508"/>
      <c r="DS23" s="508"/>
      <c r="DT23" s="508"/>
      <c r="DU23" s="508"/>
      <c r="DV23" s="508"/>
      <c r="DW23" s="508"/>
      <c r="DX23" s="508"/>
      <c r="DY23" s="508"/>
      <c r="DZ23" s="508"/>
      <c r="EA23" s="508"/>
      <c r="EB23" s="508"/>
      <c r="EC23" s="508"/>
      <c r="ED23" s="508"/>
      <c r="EE23" s="508"/>
      <c r="EF23" s="508"/>
      <c r="EG23" s="508"/>
      <c r="EH23" s="508"/>
      <c r="EI23" s="508"/>
      <c r="EJ23" s="508"/>
      <c r="EK23" s="508"/>
      <c r="EL23" s="508"/>
    </row>
    <row r="24" spans="1:142" s="137" customFormat="1" ht="43.5" customHeight="1">
      <c r="A24" s="527">
        <v>2</v>
      </c>
      <c r="B24" s="820"/>
      <c r="C24" s="528" t="s">
        <v>930</v>
      </c>
      <c r="D24" s="527" t="s">
        <v>930</v>
      </c>
      <c r="E24" s="452"/>
      <c r="F24" s="527" t="s">
        <v>929</v>
      </c>
      <c r="G24" s="504">
        <v>170</v>
      </c>
      <c r="H24" s="504"/>
      <c r="I24" s="504"/>
      <c r="J24" s="504"/>
      <c r="K24" s="504">
        <v>170</v>
      </c>
      <c r="L24" s="504"/>
      <c r="M24" s="504"/>
      <c r="N24" s="504"/>
      <c r="O24" s="504"/>
      <c r="P24" s="504">
        <v>170</v>
      </c>
      <c r="Q24" s="504">
        <v>0</v>
      </c>
      <c r="R24" s="504"/>
      <c r="S24" s="504"/>
      <c r="T24" s="504"/>
      <c r="U24" s="504"/>
      <c r="V24" s="504">
        <v>0</v>
      </c>
      <c r="W24" s="504">
        <v>170</v>
      </c>
      <c r="X24" s="504"/>
      <c r="Y24" s="529"/>
      <c r="Z24" s="529"/>
      <c r="AA24" s="529"/>
      <c r="AB24" s="529"/>
      <c r="AC24" s="529"/>
      <c r="AD24" s="529"/>
      <c r="AE24" s="529"/>
      <c r="AF24" s="507"/>
      <c r="AG24" s="507"/>
      <c r="AH24" s="507"/>
      <c r="AI24" s="508"/>
      <c r="AJ24" s="508"/>
      <c r="AK24" s="508"/>
      <c r="AL24" s="508"/>
      <c r="AM24" s="508"/>
      <c r="AN24" s="508"/>
      <c r="AO24" s="508"/>
      <c r="AP24" s="508"/>
      <c r="AQ24" s="508"/>
      <c r="AR24" s="508"/>
      <c r="AS24" s="508"/>
      <c r="AT24" s="508"/>
      <c r="AU24" s="508"/>
      <c r="AV24" s="508"/>
      <c r="AW24" s="508"/>
      <c r="AX24" s="508"/>
      <c r="AY24" s="508"/>
      <c r="AZ24" s="508"/>
      <c r="BA24" s="508"/>
      <c r="BB24" s="508"/>
      <c r="BC24" s="508"/>
      <c r="BD24" s="508"/>
      <c r="BE24" s="508"/>
      <c r="BF24" s="508"/>
      <c r="BG24" s="508"/>
      <c r="BH24" s="508"/>
      <c r="BI24" s="508"/>
      <c r="BJ24" s="508"/>
      <c r="BK24" s="508"/>
      <c r="BL24" s="508"/>
      <c r="BM24" s="508"/>
      <c r="BN24" s="508"/>
      <c r="BO24" s="508"/>
      <c r="BP24" s="508"/>
      <c r="BQ24" s="508"/>
      <c r="BR24" s="508"/>
      <c r="BS24" s="508"/>
      <c r="BT24" s="508"/>
      <c r="BU24" s="508"/>
      <c r="BV24" s="508"/>
      <c r="BW24" s="508"/>
      <c r="BX24" s="508"/>
      <c r="BY24" s="508"/>
      <c r="BZ24" s="508"/>
      <c r="CA24" s="508"/>
      <c r="CB24" s="508"/>
      <c r="CC24" s="508"/>
      <c r="CD24" s="508"/>
      <c r="CE24" s="508"/>
      <c r="CF24" s="508"/>
      <c r="CG24" s="508"/>
      <c r="CH24" s="508"/>
      <c r="CI24" s="508"/>
      <c r="CJ24" s="508"/>
      <c r="CK24" s="508"/>
      <c r="CL24" s="508"/>
      <c r="CM24" s="508"/>
      <c r="CN24" s="508"/>
      <c r="CO24" s="508"/>
      <c r="CP24" s="508"/>
      <c r="CQ24" s="508"/>
      <c r="CR24" s="508"/>
      <c r="CS24" s="508"/>
      <c r="CT24" s="508"/>
      <c r="CU24" s="508"/>
      <c r="CV24" s="508"/>
      <c r="CW24" s="508"/>
      <c r="CX24" s="508"/>
      <c r="CY24" s="508"/>
      <c r="CZ24" s="508"/>
      <c r="DA24" s="508"/>
      <c r="DB24" s="508"/>
      <c r="DC24" s="508"/>
      <c r="DD24" s="508"/>
      <c r="DE24" s="508"/>
      <c r="DF24" s="509"/>
      <c r="DG24" s="508"/>
      <c r="DH24" s="508"/>
      <c r="DI24" s="508"/>
      <c r="DJ24" s="508"/>
      <c r="DK24" s="508"/>
      <c r="DL24" s="508"/>
      <c r="DM24" s="508"/>
      <c r="DN24" s="508"/>
      <c r="DO24" s="508"/>
      <c r="DP24" s="508"/>
      <c r="DQ24" s="508"/>
      <c r="DR24" s="508"/>
      <c r="DS24" s="508"/>
      <c r="DT24" s="508"/>
      <c r="DU24" s="508"/>
      <c r="DV24" s="508"/>
      <c r="DW24" s="508"/>
      <c r="DX24" s="508"/>
      <c r="DY24" s="508"/>
      <c r="DZ24" s="508"/>
      <c r="EA24" s="508"/>
      <c r="EB24" s="508"/>
      <c r="EC24" s="508"/>
      <c r="ED24" s="508"/>
      <c r="EE24" s="508"/>
      <c r="EF24" s="508"/>
      <c r="EG24" s="508"/>
      <c r="EH24" s="508"/>
      <c r="EI24" s="508"/>
      <c r="EJ24" s="508"/>
      <c r="EK24" s="508"/>
      <c r="EL24" s="508"/>
    </row>
    <row r="25" spans="1:142" s="137" customFormat="1" ht="43.5" customHeight="1">
      <c r="A25" s="527">
        <v>3</v>
      </c>
      <c r="B25" s="861" t="s">
        <v>931</v>
      </c>
      <c r="C25" s="528" t="s">
        <v>932</v>
      </c>
      <c r="D25" s="527" t="s">
        <v>932</v>
      </c>
      <c r="E25" s="452"/>
      <c r="F25" s="527" t="s">
        <v>929</v>
      </c>
      <c r="G25" s="504"/>
      <c r="H25" s="504"/>
      <c r="I25" s="504"/>
      <c r="J25" s="504"/>
      <c r="K25" s="504">
        <v>2486</v>
      </c>
      <c r="L25" s="504"/>
      <c r="M25" s="504"/>
      <c r="N25" s="504"/>
      <c r="O25" s="504"/>
      <c r="P25" s="504">
        <v>2486</v>
      </c>
      <c r="Q25" s="504">
        <f>K25*0.7</f>
        <v>1740.1999999999998</v>
      </c>
      <c r="R25" s="504"/>
      <c r="S25" s="504"/>
      <c r="T25" s="504"/>
      <c r="U25" s="504"/>
      <c r="V25" s="504">
        <f>P25*0.7</f>
        <v>1740.1999999999998</v>
      </c>
      <c r="W25" s="504">
        <f>K25-Q25</f>
        <v>745.80000000000018</v>
      </c>
      <c r="X25" s="504">
        <v>4144.125</v>
      </c>
      <c r="Y25" s="529"/>
      <c r="Z25" s="529"/>
      <c r="AA25" s="529"/>
      <c r="AB25" s="529"/>
      <c r="AC25" s="529"/>
      <c r="AD25" s="529"/>
      <c r="AE25" s="529"/>
      <c r="AF25" s="507"/>
      <c r="AG25" s="507"/>
      <c r="AH25" s="507"/>
      <c r="AI25" s="508"/>
      <c r="AJ25" s="508"/>
      <c r="AK25" s="508"/>
      <c r="AL25" s="508"/>
      <c r="AM25" s="508"/>
      <c r="AN25" s="508"/>
      <c r="AO25" s="508"/>
      <c r="AP25" s="508"/>
      <c r="AQ25" s="508"/>
      <c r="AR25" s="508"/>
      <c r="AS25" s="508"/>
      <c r="AT25" s="508"/>
      <c r="AU25" s="508"/>
      <c r="AV25" s="508"/>
      <c r="AW25" s="508"/>
      <c r="AX25" s="508"/>
      <c r="AY25" s="508"/>
      <c r="AZ25" s="508"/>
      <c r="BA25" s="508"/>
      <c r="BB25" s="508"/>
      <c r="BC25" s="508"/>
      <c r="BD25" s="508"/>
      <c r="BE25" s="508"/>
      <c r="BF25" s="508"/>
      <c r="BG25" s="508"/>
      <c r="BH25" s="508"/>
      <c r="BI25" s="508"/>
      <c r="BJ25" s="508"/>
      <c r="BK25" s="508"/>
      <c r="BL25" s="508"/>
      <c r="BM25" s="508"/>
      <c r="BN25" s="508"/>
      <c r="BO25" s="508"/>
      <c r="BP25" s="508"/>
      <c r="BQ25" s="508"/>
      <c r="BR25" s="508"/>
      <c r="BS25" s="508"/>
      <c r="BT25" s="508"/>
      <c r="BU25" s="508"/>
      <c r="BV25" s="508"/>
      <c r="BW25" s="508"/>
      <c r="BX25" s="508"/>
      <c r="BY25" s="508"/>
      <c r="BZ25" s="508"/>
      <c r="CA25" s="508"/>
      <c r="CB25" s="508"/>
      <c r="CC25" s="508"/>
      <c r="CD25" s="508"/>
      <c r="CE25" s="508"/>
      <c r="CF25" s="508"/>
      <c r="CG25" s="508"/>
      <c r="CH25" s="508"/>
      <c r="CI25" s="508"/>
      <c r="CJ25" s="508"/>
      <c r="CK25" s="508"/>
      <c r="CL25" s="508"/>
      <c r="CM25" s="508"/>
      <c r="CN25" s="508"/>
      <c r="CO25" s="508"/>
      <c r="CP25" s="508"/>
      <c r="CQ25" s="508"/>
      <c r="CR25" s="508"/>
      <c r="CS25" s="508"/>
      <c r="CT25" s="508"/>
      <c r="CU25" s="508"/>
      <c r="CV25" s="508"/>
      <c r="CW25" s="508"/>
      <c r="CX25" s="508"/>
      <c r="CY25" s="508"/>
      <c r="CZ25" s="508"/>
      <c r="DA25" s="508"/>
      <c r="DB25" s="508"/>
      <c r="DC25" s="508"/>
      <c r="DD25" s="508"/>
      <c r="DE25" s="508"/>
      <c r="DF25" s="509"/>
      <c r="DG25" s="508"/>
      <c r="DH25" s="508"/>
      <c r="DI25" s="508"/>
      <c r="DJ25" s="508"/>
      <c r="DK25" s="508"/>
      <c r="DL25" s="508"/>
      <c r="DM25" s="508"/>
      <c r="DN25" s="508"/>
      <c r="DO25" s="508"/>
      <c r="DP25" s="508"/>
      <c r="DQ25" s="508"/>
      <c r="DR25" s="508"/>
      <c r="DS25" s="508"/>
      <c r="DT25" s="508"/>
      <c r="DU25" s="508"/>
      <c r="DV25" s="508"/>
      <c r="DW25" s="508"/>
      <c r="DX25" s="508"/>
      <c r="DY25" s="508"/>
      <c r="DZ25" s="508"/>
      <c r="EA25" s="508"/>
      <c r="EB25" s="508"/>
      <c r="EC25" s="508"/>
      <c r="ED25" s="508"/>
      <c r="EE25" s="508"/>
      <c r="EF25" s="508"/>
      <c r="EG25" s="508"/>
      <c r="EH25" s="508"/>
      <c r="EI25" s="508"/>
      <c r="EJ25" s="508"/>
      <c r="EK25" s="508"/>
      <c r="EL25" s="508"/>
    </row>
    <row r="26" spans="1:142" s="137" customFormat="1" ht="44.25" customHeight="1">
      <c r="A26" s="527">
        <v>4</v>
      </c>
      <c r="B26" s="807"/>
      <c r="C26" s="530" t="s">
        <v>933</v>
      </c>
      <c r="D26" s="527" t="s">
        <v>933</v>
      </c>
      <c r="E26" s="452"/>
      <c r="F26" s="527" t="s">
        <v>929</v>
      </c>
      <c r="G26" s="504">
        <v>198.76820000000001</v>
      </c>
      <c r="H26" s="504"/>
      <c r="I26" s="504"/>
      <c r="J26" s="504"/>
      <c r="K26" s="504">
        <v>199</v>
      </c>
      <c r="L26" s="504"/>
      <c r="M26" s="504"/>
      <c r="N26" s="504"/>
      <c r="O26" s="504"/>
      <c r="P26" s="504">
        <v>199</v>
      </c>
      <c r="Q26" s="504">
        <v>159.19999999999999</v>
      </c>
      <c r="R26" s="504"/>
      <c r="S26" s="504"/>
      <c r="T26" s="504"/>
      <c r="U26" s="504"/>
      <c r="V26" s="504">
        <v>159.19999999999999</v>
      </c>
      <c r="W26" s="504">
        <f>K26-Q26</f>
        <v>39.800000000000011</v>
      </c>
      <c r="X26" s="504">
        <v>198.76820000000001</v>
      </c>
      <c r="Y26" s="529"/>
      <c r="Z26" s="529"/>
      <c r="AA26" s="529"/>
      <c r="AB26" s="529"/>
      <c r="AC26" s="529"/>
      <c r="AD26" s="529"/>
      <c r="AE26" s="529"/>
      <c r="AF26" s="507"/>
      <c r="AG26" s="507"/>
      <c r="AH26" s="507"/>
      <c r="AI26" s="508"/>
      <c r="AJ26" s="508"/>
      <c r="AK26" s="508"/>
      <c r="AL26" s="508"/>
      <c r="AM26" s="508"/>
      <c r="AN26" s="508"/>
      <c r="AO26" s="508"/>
      <c r="AP26" s="508"/>
      <c r="AQ26" s="508"/>
      <c r="AR26" s="508"/>
      <c r="AS26" s="508"/>
      <c r="AT26" s="508"/>
      <c r="AU26" s="508"/>
      <c r="AV26" s="508"/>
      <c r="AW26" s="508"/>
      <c r="AX26" s="508"/>
      <c r="AY26" s="508"/>
      <c r="AZ26" s="508"/>
      <c r="BA26" s="508"/>
      <c r="BB26" s="508"/>
      <c r="BC26" s="508"/>
      <c r="BD26" s="508"/>
      <c r="BE26" s="508"/>
      <c r="BF26" s="508"/>
      <c r="BG26" s="508"/>
      <c r="BH26" s="508"/>
      <c r="BI26" s="508"/>
      <c r="BJ26" s="508"/>
      <c r="BK26" s="508"/>
      <c r="BL26" s="508"/>
      <c r="BM26" s="508"/>
      <c r="BN26" s="508"/>
      <c r="BO26" s="508"/>
      <c r="BP26" s="508"/>
      <c r="BQ26" s="508"/>
      <c r="BR26" s="508"/>
      <c r="BS26" s="508"/>
      <c r="BT26" s="508"/>
      <c r="BU26" s="508"/>
      <c r="BV26" s="508"/>
      <c r="BW26" s="508"/>
      <c r="BX26" s="508"/>
      <c r="BY26" s="508"/>
      <c r="BZ26" s="508"/>
      <c r="CA26" s="508"/>
      <c r="CB26" s="508"/>
      <c r="CC26" s="508"/>
      <c r="CD26" s="508"/>
      <c r="CE26" s="508"/>
      <c r="CF26" s="508"/>
      <c r="CG26" s="508"/>
      <c r="CH26" s="508"/>
      <c r="CI26" s="508"/>
      <c r="CJ26" s="508"/>
      <c r="CK26" s="508"/>
      <c r="CL26" s="508"/>
      <c r="CM26" s="508"/>
      <c r="CN26" s="508"/>
      <c r="CO26" s="508"/>
      <c r="CP26" s="508"/>
      <c r="CQ26" s="508"/>
      <c r="CR26" s="508"/>
      <c r="CS26" s="508"/>
      <c r="CT26" s="508"/>
      <c r="CU26" s="508"/>
      <c r="CV26" s="508"/>
      <c r="CW26" s="508"/>
      <c r="CX26" s="508"/>
      <c r="CY26" s="508"/>
      <c r="CZ26" s="508"/>
      <c r="DA26" s="508"/>
      <c r="DB26" s="508"/>
      <c r="DC26" s="508"/>
      <c r="DD26" s="508"/>
      <c r="DE26" s="508"/>
      <c r="DF26" s="509"/>
      <c r="DG26" s="508"/>
      <c r="DH26" s="508"/>
      <c r="DI26" s="508"/>
      <c r="DJ26" s="508"/>
      <c r="DK26" s="508"/>
      <c r="DL26" s="508"/>
      <c r="DM26" s="508"/>
      <c r="DN26" s="508"/>
      <c r="DO26" s="508"/>
      <c r="DP26" s="508"/>
      <c r="DQ26" s="508"/>
      <c r="DR26" s="508"/>
      <c r="DS26" s="508"/>
      <c r="DT26" s="508"/>
      <c r="DU26" s="508"/>
      <c r="DV26" s="508"/>
      <c r="DW26" s="508"/>
      <c r="DX26" s="508"/>
      <c r="DY26" s="508"/>
      <c r="DZ26" s="508"/>
      <c r="EA26" s="508"/>
      <c r="EB26" s="508"/>
      <c r="EC26" s="508"/>
      <c r="ED26" s="508"/>
      <c r="EE26" s="508"/>
      <c r="EF26" s="508"/>
      <c r="EG26" s="508"/>
      <c r="EH26" s="508"/>
      <c r="EI26" s="508"/>
      <c r="EJ26" s="508"/>
      <c r="EK26" s="508"/>
      <c r="EL26" s="508"/>
    </row>
    <row r="27" spans="1:142" s="137" customFormat="1" ht="61.5" customHeight="1">
      <c r="A27" s="527">
        <v>5</v>
      </c>
      <c r="B27" s="527"/>
      <c r="C27" s="530"/>
      <c r="D27" s="531"/>
      <c r="E27" s="532"/>
      <c r="F27" s="531"/>
      <c r="G27" s="533"/>
      <c r="H27" s="533"/>
      <c r="I27" s="504"/>
      <c r="J27" s="504"/>
      <c r="K27" s="504"/>
      <c r="L27" s="504"/>
      <c r="M27" s="504"/>
      <c r="N27" s="504"/>
      <c r="O27" s="504"/>
      <c r="P27" s="504"/>
      <c r="Q27" s="504"/>
      <c r="R27" s="504"/>
      <c r="S27" s="504"/>
      <c r="T27" s="504"/>
      <c r="U27" s="504"/>
      <c r="V27" s="504"/>
      <c r="W27" s="504"/>
      <c r="X27" s="504"/>
      <c r="Y27" s="529"/>
      <c r="Z27" s="529"/>
      <c r="AA27" s="529"/>
      <c r="AB27" s="529"/>
      <c r="AC27" s="529"/>
      <c r="AD27" s="529"/>
      <c r="AE27" s="529"/>
      <c r="AF27" s="507"/>
      <c r="AG27" s="507"/>
      <c r="AH27" s="507"/>
      <c r="AI27" s="508"/>
      <c r="AJ27" s="508"/>
      <c r="AK27" s="508"/>
      <c r="AL27" s="508"/>
      <c r="AM27" s="508"/>
      <c r="AN27" s="508"/>
      <c r="AO27" s="508"/>
      <c r="AP27" s="508"/>
      <c r="AQ27" s="508"/>
      <c r="AR27" s="508"/>
      <c r="AS27" s="508"/>
      <c r="AT27" s="508"/>
      <c r="AU27" s="508"/>
      <c r="AV27" s="508"/>
      <c r="AW27" s="508"/>
      <c r="AX27" s="508"/>
      <c r="AY27" s="508"/>
      <c r="AZ27" s="508"/>
      <c r="BA27" s="508"/>
      <c r="BB27" s="508"/>
      <c r="BC27" s="508"/>
      <c r="BD27" s="508"/>
      <c r="BE27" s="508"/>
      <c r="BF27" s="508"/>
      <c r="BG27" s="508"/>
      <c r="BH27" s="508"/>
      <c r="BI27" s="508"/>
      <c r="BJ27" s="508"/>
      <c r="BK27" s="508"/>
      <c r="BL27" s="508"/>
      <c r="BM27" s="508"/>
      <c r="BN27" s="508"/>
      <c r="BO27" s="508"/>
      <c r="BP27" s="508"/>
      <c r="BQ27" s="508"/>
      <c r="BR27" s="508"/>
      <c r="BS27" s="508"/>
      <c r="BT27" s="508"/>
      <c r="BU27" s="508"/>
      <c r="BV27" s="508"/>
      <c r="BW27" s="508"/>
      <c r="BX27" s="508"/>
      <c r="BY27" s="508"/>
      <c r="BZ27" s="508"/>
      <c r="CA27" s="508"/>
      <c r="CB27" s="508"/>
      <c r="CC27" s="508"/>
      <c r="CD27" s="508"/>
      <c r="CE27" s="508"/>
      <c r="CF27" s="508"/>
      <c r="CG27" s="508"/>
      <c r="CH27" s="508"/>
      <c r="CI27" s="508"/>
      <c r="CJ27" s="508"/>
      <c r="CK27" s="508"/>
      <c r="CL27" s="508"/>
      <c r="CM27" s="508"/>
      <c r="CN27" s="508"/>
      <c r="CO27" s="508"/>
      <c r="CP27" s="508"/>
      <c r="CQ27" s="508"/>
      <c r="CR27" s="508"/>
      <c r="CS27" s="508"/>
      <c r="CT27" s="508"/>
      <c r="CU27" s="508"/>
      <c r="CV27" s="508"/>
      <c r="CW27" s="508"/>
      <c r="CX27" s="508"/>
      <c r="CY27" s="508"/>
      <c r="CZ27" s="508"/>
      <c r="DA27" s="508"/>
      <c r="DB27" s="508"/>
      <c r="DC27" s="508"/>
      <c r="DD27" s="508"/>
      <c r="DE27" s="508"/>
      <c r="DF27" s="509"/>
      <c r="DG27" s="508"/>
      <c r="DH27" s="508"/>
      <c r="DI27" s="508"/>
      <c r="DJ27" s="508"/>
      <c r="DK27" s="508"/>
      <c r="DL27" s="508"/>
      <c r="DM27" s="508"/>
      <c r="DN27" s="508"/>
      <c r="DO27" s="508"/>
      <c r="DP27" s="508"/>
      <c r="DQ27" s="508"/>
      <c r="DR27" s="508"/>
      <c r="DS27" s="508"/>
      <c r="DT27" s="508"/>
      <c r="DU27" s="508"/>
      <c r="DV27" s="508"/>
      <c r="DW27" s="508"/>
      <c r="DX27" s="508"/>
      <c r="DY27" s="508"/>
      <c r="DZ27" s="508"/>
      <c r="EA27" s="508"/>
      <c r="EB27" s="508"/>
      <c r="EC27" s="508"/>
      <c r="ED27" s="508"/>
      <c r="EE27" s="508"/>
      <c r="EF27" s="508"/>
      <c r="EG27" s="508"/>
      <c r="EH27" s="508"/>
      <c r="EI27" s="508"/>
      <c r="EJ27" s="508"/>
      <c r="EK27" s="508"/>
      <c r="EL27" s="508"/>
    </row>
    <row r="28" spans="1:142" s="782" customFormat="1" ht="32.25" customHeight="1">
      <c r="A28" s="843" t="s">
        <v>924</v>
      </c>
      <c r="B28" s="807"/>
      <c r="C28" s="807"/>
      <c r="D28" s="850"/>
      <c r="E28" s="850"/>
      <c r="F28" s="850"/>
      <c r="G28" s="534">
        <f>SUM(G23:G27)</f>
        <v>1368.7682</v>
      </c>
      <c r="H28" s="534">
        <f>SUM(H27)</f>
        <v>0</v>
      </c>
      <c r="I28" s="522">
        <f>SUM(I27)</f>
        <v>0</v>
      </c>
      <c r="J28" s="522">
        <f>SUM(J27)</f>
        <v>0</v>
      </c>
      <c r="K28" s="522">
        <f t="shared" ref="K28:AP28" si="7">SUM(K23:K27)</f>
        <v>3255</v>
      </c>
      <c r="L28" s="522">
        <f t="shared" si="7"/>
        <v>0</v>
      </c>
      <c r="M28" s="522">
        <f t="shared" si="7"/>
        <v>0</v>
      </c>
      <c r="N28" s="523">
        <f t="shared" si="7"/>
        <v>0</v>
      </c>
      <c r="O28" s="522">
        <f t="shared" si="7"/>
        <v>0</v>
      </c>
      <c r="P28" s="522">
        <f t="shared" si="7"/>
        <v>3255</v>
      </c>
      <c r="Q28" s="522">
        <f t="shared" si="7"/>
        <v>2179.3999999999996</v>
      </c>
      <c r="R28" s="523">
        <f t="shared" si="7"/>
        <v>0</v>
      </c>
      <c r="S28" s="522">
        <f t="shared" si="7"/>
        <v>0</v>
      </c>
      <c r="T28" s="523">
        <f t="shared" si="7"/>
        <v>0</v>
      </c>
      <c r="U28" s="523">
        <f t="shared" si="7"/>
        <v>0</v>
      </c>
      <c r="V28" s="523">
        <f t="shared" si="7"/>
        <v>2179.3999999999996</v>
      </c>
      <c r="W28" s="522">
        <f t="shared" si="7"/>
        <v>1075.6000000000001</v>
      </c>
      <c r="X28" s="522">
        <f t="shared" si="7"/>
        <v>4342.8932000000004</v>
      </c>
      <c r="Y28" s="522">
        <f t="shared" si="7"/>
        <v>0</v>
      </c>
      <c r="Z28" s="522">
        <f t="shared" si="7"/>
        <v>0</v>
      </c>
      <c r="AA28" s="522">
        <f t="shared" si="7"/>
        <v>0</v>
      </c>
      <c r="AB28" s="522">
        <f t="shared" si="7"/>
        <v>0</v>
      </c>
      <c r="AC28" s="522">
        <f t="shared" si="7"/>
        <v>0</v>
      </c>
      <c r="AD28" s="522">
        <f t="shared" si="7"/>
        <v>0</v>
      </c>
      <c r="AE28" s="522">
        <f t="shared" si="7"/>
        <v>0</v>
      </c>
      <c r="AF28" s="522">
        <f t="shared" si="7"/>
        <v>0</v>
      </c>
      <c r="AG28" s="522">
        <f t="shared" si="7"/>
        <v>0</v>
      </c>
      <c r="AH28" s="522">
        <f t="shared" si="7"/>
        <v>0</v>
      </c>
      <c r="AI28" s="522">
        <f t="shared" si="7"/>
        <v>0</v>
      </c>
      <c r="AJ28" s="522">
        <f t="shared" si="7"/>
        <v>0</v>
      </c>
      <c r="AK28" s="522">
        <f t="shared" si="7"/>
        <v>0</v>
      </c>
      <c r="AL28" s="522">
        <f t="shared" si="7"/>
        <v>0</v>
      </c>
      <c r="AM28" s="522">
        <f t="shared" si="7"/>
        <v>0</v>
      </c>
      <c r="AN28" s="522">
        <f t="shared" si="7"/>
        <v>0</v>
      </c>
      <c r="AO28" s="522">
        <f t="shared" si="7"/>
        <v>0</v>
      </c>
      <c r="AP28" s="522">
        <f t="shared" si="7"/>
        <v>0</v>
      </c>
      <c r="AQ28" s="522">
        <f t="shared" ref="AQ28:BV28" si="8">SUM(AQ23:AQ27)</f>
        <v>0</v>
      </c>
      <c r="AR28" s="522">
        <f t="shared" si="8"/>
        <v>0</v>
      </c>
      <c r="AS28" s="522">
        <f t="shared" si="8"/>
        <v>0</v>
      </c>
      <c r="AT28" s="522">
        <f t="shared" si="8"/>
        <v>0</v>
      </c>
      <c r="AU28" s="522">
        <f t="shared" si="8"/>
        <v>0</v>
      </c>
      <c r="AV28" s="522">
        <f t="shared" si="8"/>
        <v>0</v>
      </c>
      <c r="AW28" s="522">
        <f t="shared" si="8"/>
        <v>0</v>
      </c>
      <c r="AX28" s="522">
        <f t="shared" si="8"/>
        <v>0</v>
      </c>
      <c r="AY28" s="522">
        <f t="shared" si="8"/>
        <v>0</v>
      </c>
      <c r="AZ28" s="522">
        <f t="shared" si="8"/>
        <v>0</v>
      </c>
      <c r="BA28" s="522">
        <f t="shared" si="8"/>
        <v>0</v>
      </c>
      <c r="BB28" s="522">
        <f t="shared" si="8"/>
        <v>0</v>
      </c>
      <c r="BC28" s="522">
        <f t="shared" si="8"/>
        <v>0</v>
      </c>
      <c r="BD28" s="522">
        <f t="shared" si="8"/>
        <v>0</v>
      </c>
      <c r="BE28" s="522">
        <f t="shared" si="8"/>
        <v>0</v>
      </c>
      <c r="BF28" s="522">
        <f t="shared" si="8"/>
        <v>0</v>
      </c>
      <c r="BG28" s="522">
        <f t="shared" si="8"/>
        <v>0</v>
      </c>
      <c r="BH28" s="522">
        <f t="shared" si="8"/>
        <v>0</v>
      </c>
      <c r="BI28" s="522">
        <f t="shared" si="8"/>
        <v>0</v>
      </c>
      <c r="BJ28" s="522">
        <f t="shared" si="8"/>
        <v>0</v>
      </c>
      <c r="BK28" s="522">
        <f t="shared" si="8"/>
        <v>0</v>
      </c>
      <c r="BL28" s="522">
        <f t="shared" si="8"/>
        <v>0</v>
      </c>
      <c r="BM28" s="522">
        <f t="shared" si="8"/>
        <v>0</v>
      </c>
      <c r="BN28" s="522">
        <f t="shared" si="8"/>
        <v>0</v>
      </c>
      <c r="BO28" s="522">
        <f t="shared" si="8"/>
        <v>0</v>
      </c>
      <c r="BP28" s="522">
        <f t="shared" si="8"/>
        <v>0</v>
      </c>
      <c r="BQ28" s="522">
        <f t="shared" si="8"/>
        <v>0</v>
      </c>
      <c r="BR28" s="522">
        <f t="shared" si="8"/>
        <v>0</v>
      </c>
      <c r="BS28" s="523">
        <f t="shared" si="8"/>
        <v>0</v>
      </c>
      <c r="BT28" s="522">
        <f t="shared" si="8"/>
        <v>0</v>
      </c>
      <c r="BU28" s="522">
        <f t="shared" si="8"/>
        <v>0</v>
      </c>
      <c r="BV28" s="522">
        <f t="shared" si="8"/>
        <v>0</v>
      </c>
      <c r="BW28" s="523">
        <f t="shared" ref="BW28:DB28" si="9">SUM(BW23:BW27)</f>
        <v>0</v>
      </c>
      <c r="BX28" s="523">
        <f t="shared" si="9"/>
        <v>0</v>
      </c>
      <c r="BY28" s="523">
        <f t="shared" si="9"/>
        <v>0</v>
      </c>
      <c r="BZ28" s="523">
        <f t="shared" si="9"/>
        <v>0</v>
      </c>
      <c r="CA28" s="523">
        <f t="shared" si="9"/>
        <v>0</v>
      </c>
      <c r="CB28" s="523">
        <f t="shared" si="9"/>
        <v>0</v>
      </c>
      <c r="CC28" s="522">
        <f t="shared" si="9"/>
        <v>0</v>
      </c>
      <c r="CD28" s="522">
        <f t="shared" si="9"/>
        <v>0</v>
      </c>
      <c r="CE28" s="522">
        <f t="shared" si="9"/>
        <v>0</v>
      </c>
      <c r="CF28" s="522">
        <f t="shared" si="9"/>
        <v>0</v>
      </c>
      <c r="CG28" s="523">
        <f t="shared" si="9"/>
        <v>0</v>
      </c>
      <c r="CH28" s="523">
        <f t="shared" si="9"/>
        <v>0</v>
      </c>
      <c r="CI28" s="523">
        <f t="shared" si="9"/>
        <v>0</v>
      </c>
      <c r="CJ28" s="523">
        <f t="shared" si="9"/>
        <v>0</v>
      </c>
      <c r="CK28" s="523">
        <f t="shared" si="9"/>
        <v>0</v>
      </c>
      <c r="CL28" s="522">
        <f t="shared" si="9"/>
        <v>0</v>
      </c>
      <c r="CM28" s="522">
        <f t="shared" si="9"/>
        <v>0</v>
      </c>
      <c r="CN28" s="522">
        <f t="shared" si="9"/>
        <v>0</v>
      </c>
      <c r="CO28" s="523">
        <f t="shared" si="9"/>
        <v>0</v>
      </c>
      <c r="CP28" s="523">
        <f t="shared" si="9"/>
        <v>0</v>
      </c>
      <c r="CQ28" s="523">
        <f t="shared" si="9"/>
        <v>0</v>
      </c>
      <c r="CR28" s="523">
        <f t="shared" si="9"/>
        <v>0</v>
      </c>
      <c r="CS28" s="523">
        <f t="shared" si="9"/>
        <v>0</v>
      </c>
      <c r="CT28" s="523">
        <f t="shared" si="9"/>
        <v>0</v>
      </c>
      <c r="CU28" s="523">
        <f t="shared" si="9"/>
        <v>0</v>
      </c>
      <c r="CV28" s="522">
        <f t="shared" si="9"/>
        <v>0</v>
      </c>
      <c r="CW28" s="522">
        <f t="shared" si="9"/>
        <v>0</v>
      </c>
      <c r="CX28" s="523">
        <f t="shared" si="9"/>
        <v>0</v>
      </c>
      <c r="CY28" s="523">
        <f t="shared" si="9"/>
        <v>0</v>
      </c>
      <c r="CZ28" s="523">
        <f t="shared" si="9"/>
        <v>0</v>
      </c>
      <c r="DA28" s="523">
        <f t="shared" si="9"/>
        <v>0</v>
      </c>
      <c r="DB28" s="523">
        <f t="shared" si="9"/>
        <v>0</v>
      </c>
      <c r="DC28" s="523">
        <f t="shared" ref="DC28:EH28" si="10">SUM(DC23:DC27)</f>
        <v>0</v>
      </c>
      <c r="DD28" s="523">
        <f t="shared" si="10"/>
        <v>0</v>
      </c>
      <c r="DE28" s="522">
        <f t="shared" si="10"/>
        <v>0</v>
      </c>
      <c r="DF28" s="522">
        <f t="shared" si="10"/>
        <v>0</v>
      </c>
      <c r="DG28" s="523">
        <f t="shared" si="10"/>
        <v>0</v>
      </c>
      <c r="DH28" s="523">
        <f t="shared" si="10"/>
        <v>0</v>
      </c>
      <c r="DI28" s="523">
        <f t="shared" si="10"/>
        <v>0</v>
      </c>
      <c r="DJ28" s="523">
        <f t="shared" si="10"/>
        <v>0</v>
      </c>
      <c r="DK28" s="523">
        <f t="shared" si="10"/>
        <v>0</v>
      </c>
      <c r="DL28" s="523">
        <f t="shared" si="10"/>
        <v>0</v>
      </c>
      <c r="DM28" s="523">
        <f t="shared" si="10"/>
        <v>0</v>
      </c>
      <c r="DN28" s="522">
        <f t="shared" si="10"/>
        <v>0</v>
      </c>
      <c r="DO28" s="522">
        <f t="shared" si="10"/>
        <v>0</v>
      </c>
      <c r="DP28" s="523">
        <f t="shared" si="10"/>
        <v>0</v>
      </c>
      <c r="DQ28" s="523">
        <f t="shared" si="10"/>
        <v>0</v>
      </c>
      <c r="DR28" s="523">
        <f t="shared" si="10"/>
        <v>0</v>
      </c>
      <c r="DS28" s="523">
        <f t="shared" si="10"/>
        <v>0</v>
      </c>
      <c r="DT28" s="523">
        <f t="shared" si="10"/>
        <v>0</v>
      </c>
      <c r="DU28" s="523">
        <f t="shared" si="10"/>
        <v>0</v>
      </c>
      <c r="DV28" s="523">
        <f t="shared" si="10"/>
        <v>0</v>
      </c>
      <c r="DW28" s="522">
        <f t="shared" si="10"/>
        <v>0</v>
      </c>
      <c r="DX28" s="522">
        <f t="shared" si="10"/>
        <v>0</v>
      </c>
      <c r="DY28" s="523">
        <f t="shared" si="10"/>
        <v>0</v>
      </c>
      <c r="DZ28" s="523">
        <f t="shared" si="10"/>
        <v>0</v>
      </c>
      <c r="EA28" s="523">
        <f t="shared" si="10"/>
        <v>0</v>
      </c>
      <c r="EB28" s="523">
        <f t="shared" si="10"/>
        <v>0</v>
      </c>
      <c r="EC28" s="523">
        <f t="shared" si="10"/>
        <v>0</v>
      </c>
      <c r="ED28" s="523">
        <f t="shared" si="10"/>
        <v>0</v>
      </c>
      <c r="EE28" s="523">
        <f t="shared" si="10"/>
        <v>0</v>
      </c>
      <c r="EF28" s="522">
        <f t="shared" si="10"/>
        <v>0</v>
      </c>
      <c r="EG28" s="522">
        <f t="shared" si="10"/>
        <v>0</v>
      </c>
      <c r="EH28" s="523">
        <f t="shared" si="10"/>
        <v>0</v>
      </c>
      <c r="EI28" s="523">
        <f t="shared" ref="EI28:FN28" si="11">SUM(EI23:EI27)</f>
        <v>0</v>
      </c>
      <c r="EJ28" s="523">
        <f t="shared" si="11"/>
        <v>0</v>
      </c>
      <c r="EK28" s="523">
        <f t="shared" si="11"/>
        <v>0</v>
      </c>
      <c r="EL28" s="523">
        <f t="shared" si="11"/>
        <v>0</v>
      </c>
    </row>
    <row r="29" spans="1:142" s="778" customFormat="1" ht="32.25" customHeight="1">
      <c r="A29" s="535" t="s">
        <v>934</v>
      </c>
      <c r="B29" s="536"/>
      <c r="C29" s="494" t="s">
        <v>935</v>
      </c>
      <c r="D29" s="525"/>
      <c r="E29" s="537"/>
      <c r="F29" s="525" t="s">
        <v>911</v>
      </c>
      <c r="G29" s="538"/>
      <c r="H29" s="538"/>
      <c r="I29" s="539"/>
      <c r="J29" s="539"/>
      <c r="K29" s="540"/>
      <c r="L29" s="540"/>
      <c r="M29" s="540"/>
      <c r="N29" s="541"/>
      <c r="O29" s="540"/>
      <c r="P29" s="540"/>
      <c r="Q29" s="540"/>
      <c r="R29" s="541"/>
      <c r="S29" s="540"/>
      <c r="T29" s="541"/>
      <c r="U29" s="541"/>
      <c r="V29" s="541"/>
      <c r="W29" s="540"/>
      <c r="X29" s="540"/>
      <c r="Y29" s="535"/>
      <c r="Z29" s="535"/>
      <c r="AA29" s="535"/>
      <c r="AB29" s="535"/>
      <c r="AC29" s="535"/>
      <c r="AD29" s="535"/>
      <c r="AE29" s="535"/>
      <c r="AF29" s="535"/>
      <c r="AG29" s="535"/>
      <c r="AH29" s="535"/>
      <c r="AI29" s="497"/>
      <c r="AJ29" s="497"/>
      <c r="AK29" s="497"/>
      <c r="AL29" s="497"/>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c r="BI29" s="497"/>
      <c r="BJ29" s="497"/>
      <c r="BK29" s="497"/>
      <c r="BL29" s="497"/>
      <c r="BM29" s="497"/>
      <c r="BN29" s="497"/>
      <c r="BO29" s="497"/>
      <c r="BP29" s="497"/>
      <c r="BQ29" s="497"/>
      <c r="BR29" s="497"/>
      <c r="BS29" s="497"/>
      <c r="BT29" s="497"/>
      <c r="BU29" s="497"/>
      <c r="BV29" s="497"/>
      <c r="BW29" s="497"/>
      <c r="BX29" s="497"/>
      <c r="BY29" s="497"/>
      <c r="BZ29" s="497"/>
      <c r="CA29" s="497"/>
      <c r="CB29" s="497"/>
      <c r="CC29" s="497"/>
      <c r="CD29" s="497"/>
      <c r="CE29" s="497"/>
      <c r="CF29" s="497"/>
      <c r="CG29" s="497"/>
      <c r="CH29" s="497"/>
      <c r="CI29" s="497"/>
      <c r="CJ29" s="497"/>
      <c r="CK29" s="497"/>
      <c r="CL29" s="497"/>
      <c r="CM29" s="497"/>
      <c r="CN29" s="497"/>
      <c r="CO29" s="497"/>
      <c r="CP29" s="497"/>
      <c r="CQ29" s="497"/>
      <c r="CR29" s="497"/>
      <c r="CS29" s="497"/>
      <c r="CT29" s="497"/>
      <c r="CU29" s="497"/>
      <c r="CV29" s="497"/>
      <c r="CW29" s="497"/>
      <c r="CX29" s="497"/>
      <c r="CY29" s="497"/>
      <c r="CZ29" s="497"/>
      <c r="DA29" s="497"/>
      <c r="DB29" s="497"/>
      <c r="DC29" s="497"/>
      <c r="DD29" s="497"/>
      <c r="DE29" s="497"/>
      <c r="DF29" s="498"/>
      <c r="DG29" s="497"/>
      <c r="DH29" s="497"/>
      <c r="DI29" s="497"/>
      <c r="DJ29" s="497"/>
      <c r="DK29" s="497"/>
      <c r="DL29" s="497"/>
      <c r="DM29" s="497"/>
      <c r="DN29" s="497"/>
      <c r="DO29" s="497"/>
      <c r="DP29" s="497"/>
      <c r="DQ29" s="497"/>
      <c r="DR29" s="497"/>
      <c r="DS29" s="497"/>
      <c r="DT29" s="497"/>
      <c r="DU29" s="497"/>
      <c r="DV29" s="497"/>
      <c r="DW29" s="497"/>
      <c r="DX29" s="497"/>
      <c r="DY29" s="497"/>
      <c r="DZ29" s="497"/>
      <c r="EA29" s="497"/>
      <c r="EB29" s="497"/>
      <c r="EC29" s="497"/>
      <c r="ED29" s="497"/>
      <c r="EE29" s="497"/>
      <c r="EF29" s="497"/>
      <c r="EG29" s="497"/>
      <c r="EH29" s="497"/>
      <c r="EI29" s="497"/>
      <c r="EJ29" s="497"/>
      <c r="EK29" s="497"/>
      <c r="EL29" s="497"/>
    </row>
    <row r="30" spans="1:142" s="44" customFormat="1" ht="60" customHeight="1">
      <c r="A30" s="542">
        <v>1</v>
      </c>
      <c r="B30" s="867" t="s">
        <v>936</v>
      </c>
      <c r="C30" s="542" t="s">
        <v>937</v>
      </c>
      <c r="D30" s="884" t="s">
        <v>938</v>
      </c>
      <c r="E30" s="883" t="s">
        <v>939</v>
      </c>
      <c r="F30" s="543" t="s">
        <v>940</v>
      </c>
      <c r="G30" s="544">
        <v>1210</v>
      </c>
      <c r="H30" s="545"/>
      <c r="I30" s="546"/>
      <c r="J30" s="546"/>
      <c r="K30" s="547">
        <v>1520</v>
      </c>
      <c r="L30" s="548" t="s">
        <v>672</v>
      </c>
      <c r="M30" s="548" t="s">
        <v>672</v>
      </c>
      <c r="N30" s="549" t="s">
        <v>672</v>
      </c>
      <c r="O30" s="548" t="s">
        <v>672</v>
      </c>
      <c r="P30" s="548">
        <f t="shared" ref="P30:P35" si="12">K30</f>
        <v>1520</v>
      </c>
      <c r="Q30" s="548">
        <f>K30*0.3</f>
        <v>456</v>
      </c>
      <c r="R30" s="549" t="s">
        <v>672</v>
      </c>
      <c r="S30" s="548" t="s">
        <v>672</v>
      </c>
      <c r="T30" s="549" t="s">
        <v>672</v>
      </c>
      <c r="U30" s="549" t="s">
        <v>672</v>
      </c>
      <c r="V30" s="549">
        <f t="shared" ref="V30:V35" si="13">Q30</f>
        <v>456</v>
      </c>
      <c r="W30" s="548">
        <f t="shared" ref="W30:W35" si="14">K30-Q30</f>
        <v>1064</v>
      </c>
      <c r="X30" s="550">
        <v>0</v>
      </c>
      <c r="Y30" s="550">
        <v>0</v>
      </c>
      <c r="Z30" s="550">
        <v>0</v>
      </c>
      <c r="AA30" s="551">
        <f t="shared" ref="AA30:AA35" si="15">Y30-Z30</f>
        <v>0</v>
      </c>
      <c r="AB30" s="551">
        <f>Y30/1.06</f>
        <v>0</v>
      </c>
      <c r="AC30" s="551">
        <f>Z30/1.06</f>
        <v>0</v>
      </c>
      <c r="AD30" s="551">
        <f t="shared" ref="AD30:AD35" si="16">AB30-AC30</f>
        <v>0</v>
      </c>
      <c r="AE30" s="552">
        <f t="shared" ref="AE30:AE35" si="17">X30/G30</f>
        <v>0</v>
      </c>
      <c r="AF30" s="552">
        <f t="shared" ref="AF30:AF35" si="18">AB30/K30</f>
        <v>0</v>
      </c>
      <c r="AG30" s="552">
        <f t="shared" ref="AG30:AG35" si="19">AC30/Q30</f>
        <v>0</v>
      </c>
      <c r="AH30" s="552">
        <f t="shared" ref="AH30:AH35" si="20">AD30/W30</f>
        <v>0</v>
      </c>
      <c r="AI30" s="52"/>
      <c r="AJ30" s="553"/>
      <c r="AK30" s="553"/>
      <c r="AL30" s="553"/>
      <c r="AM30" s="554"/>
      <c r="AN30" s="553"/>
      <c r="AO30" s="554"/>
      <c r="AP30" s="555"/>
      <c r="AQ30" s="553"/>
      <c r="AR30" s="52"/>
      <c r="AS30" s="553"/>
      <c r="AT30" s="553"/>
      <c r="AU30" s="553"/>
      <c r="AV30" s="554"/>
      <c r="AW30" s="553"/>
      <c r="AX30" s="554"/>
      <c r="AY30" s="555"/>
      <c r="AZ30" s="553"/>
      <c r="BA30" s="52"/>
      <c r="BB30" s="553"/>
      <c r="BC30" s="553"/>
      <c r="BD30" s="553"/>
      <c r="BE30" s="554"/>
      <c r="BF30" s="553"/>
      <c r="BG30" s="554"/>
      <c r="BH30" s="555"/>
      <c r="BI30" s="553"/>
      <c r="BJ30" s="52"/>
      <c r="BK30" s="553"/>
      <c r="BL30" s="553"/>
      <c r="BM30" s="553"/>
      <c r="BN30" s="554"/>
      <c r="BO30" s="553"/>
      <c r="BP30" s="554"/>
      <c r="BQ30" s="555"/>
      <c r="BR30" s="553"/>
      <c r="BS30" s="52"/>
      <c r="BT30" s="553"/>
      <c r="BU30" s="553"/>
      <c r="BV30" s="553"/>
      <c r="BW30" s="554"/>
      <c r="BX30" s="553"/>
      <c r="BY30" s="554"/>
      <c r="BZ30" s="555"/>
      <c r="CA30" s="553"/>
      <c r="CB30" s="553"/>
      <c r="CC30" s="553"/>
      <c r="CD30" s="553"/>
      <c r="CE30" s="553"/>
      <c r="CF30" s="553"/>
      <c r="CG30" s="554"/>
      <c r="CH30" s="553"/>
      <c r="CI30" s="554"/>
      <c r="CJ30" s="553"/>
      <c r="CK30" s="553"/>
      <c r="CL30" s="553"/>
      <c r="CM30" s="553"/>
      <c r="CN30" s="553"/>
      <c r="CO30" s="553"/>
      <c r="CP30" s="553"/>
      <c r="CQ30" s="553"/>
      <c r="CR30" s="553"/>
      <c r="CS30" s="553"/>
      <c r="CT30" s="553"/>
      <c r="CU30" s="553"/>
      <c r="CV30" s="553"/>
      <c r="CW30" s="553"/>
      <c r="CX30" s="553"/>
      <c r="CY30" s="553"/>
      <c r="CZ30" s="553"/>
      <c r="DA30" s="553"/>
      <c r="DB30" s="553"/>
      <c r="DC30" s="553"/>
      <c r="DD30" s="553"/>
      <c r="DE30" s="553"/>
      <c r="DF30" s="556"/>
      <c r="DG30" s="553"/>
      <c r="DH30" s="553"/>
      <c r="DI30" s="553"/>
      <c r="DJ30" s="553"/>
      <c r="DK30" s="553"/>
      <c r="DL30" s="556"/>
      <c r="DM30" s="556"/>
      <c r="DN30" s="556"/>
      <c r="DO30" s="556"/>
      <c r="DP30" s="553"/>
      <c r="DQ30" s="553"/>
      <c r="DR30" s="553"/>
      <c r="DS30" s="553"/>
      <c r="DT30" s="553"/>
      <c r="DU30" s="553"/>
      <c r="DV30" s="553"/>
      <c r="DW30" s="553"/>
      <c r="DX30" s="553"/>
      <c r="DY30" s="553"/>
      <c r="DZ30" s="553"/>
      <c r="EA30" s="553"/>
      <c r="EB30" s="553"/>
      <c r="EC30" s="553"/>
      <c r="ED30" s="553"/>
      <c r="EE30" s="553"/>
      <c r="EF30" s="553"/>
      <c r="EG30" s="553"/>
      <c r="EH30" s="553"/>
      <c r="EI30" s="553"/>
      <c r="EJ30" s="553"/>
      <c r="EK30" s="553"/>
      <c r="EL30" s="553"/>
    </row>
    <row r="31" spans="1:142" s="44" customFormat="1" ht="60" customHeight="1">
      <c r="A31" s="542">
        <v>2</v>
      </c>
      <c r="B31" s="807"/>
      <c r="C31" s="542" t="s">
        <v>941</v>
      </c>
      <c r="D31" s="881"/>
      <c r="E31" s="881"/>
      <c r="F31" s="542" t="s">
        <v>940</v>
      </c>
      <c r="G31" s="547">
        <v>240</v>
      </c>
      <c r="H31" s="546"/>
      <c r="I31" s="546"/>
      <c r="J31" s="546"/>
      <c r="K31" s="547">
        <v>125</v>
      </c>
      <c r="L31" s="548" t="s">
        <v>672</v>
      </c>
      <c r="M31" s="548" t="s">
        <v>672</v>
      </c>
      <c r="N31" s="549" t="s">
        <v>672</v>
      </c>
      <c r="O31" s="548" t="s">
        <v>672</v>
      </c>
      <c r="P31" s="548">
        <f t="shared" si="12"/>
        <v>125</v>
      </c>
      <c r="Q31" s="548">
        <f>K31*0.7</f>
        <v>87.5</v>
      </c>
      <c r="R31" s="549" t="s">
        <v>672</v>
      </c>
      <c r="S31" s="548" t="s">
        <v>672</v>
      </c>
      <c r="T31" s="549" t="s">
        <v>672</v>
      </c>
      <c r="U31" s="549" t="s">
        <v>672</v>
      </c>
      <c r="V31" s="549">
        <f t="shared" si="13"/>
        <v>87.5</v>
      </c>
      <c r="W31" s="548">
        <f t="shared" si="14"/>
        <v>37.5</v>
      </c>
      <c r="X31" s="550">
        <v>0</v>
      </c>
      <c r="Y31" s="550">
        <v>0</v>
      </c>
      <c r="Z31" s="550">
        <v>0</v>
      </c>
      <c r="AA31" s="551">
        <f t="shared" si="15"/>
        <v>0</v>
      </c>
      <c r="AB31" s="551">
        <f>Y31/1.06</f>
        <v>0</v>
      </c>
      <c r="AC31" s="551">
        <f>Z31/1.03</f>
        <v>0</v>
      </c>
      <c r="AD31" s="551">
        <f t="shared" si="16"/>
        <v>0</v>
      </c>
      <c r="AE31" s="552">
        <f t="shared" si="17"/>
        <v>0</v>
      </c>
      <c r="AF31" s="552">
        <f t="shared" si="18"/>
        <v>0</v>
      </c>
      <c r="AG31" s="552">
        <f t="shared" si="19"/>
        <v>0</v>
      </c>
      <c r="AH31" s="552">
        <f t="shared" si="20"/>
        <v>0</v>
      </c>
      <c r="AI31" s="553"/>
      <c r="AJ31" s="553"/>
      <c r="AK31" s="553"/>
      <c r="AL31" s="553"/>
      <c r="AM31" s="553"/>
      <c r="AN31" s="553"/>
      <c r="AO31" s="553"/>
      <c r="AP31" s="553"/>
      <c r="AQ31" s="553"/>
      <c r="AR31" s="553"/>
      <c r="AS31" s="553"/>
      <c r="AT31" s="553"/>
      <c r="AU31" s="553"/>
      <c r="AV31" s="553"/>
      <c r="AW31" s="553"/>
      <c r="AX31" s="553"/>
      <c r="AY31" s="553"/>
      <c r="AZ31" s="553"/>
      <c r="BA31" s="553"/>
      <c r="BB31" s="553"/>
      <c r="BC31" s="553"/>
      <c r="BD31" s="553"/>
      <c r="BE31" s="553"/>
      <c r="BF31" s="553"/>
      <c r="BG31" s="553"/>
      <c r="BH31" s="553"/>
      <c r="BI31" s="553"/>
      <c r="BJ31" s="553"/>
      <c r="BK31" s="553"/>
      <c r="BL31" s="553"/>
      <c r="BM31" s="553"/>
      <c r="BN31" s="553"/>
      <c r="BO31" s="553"/>
      <c r="BP31" s="553"/>
      <c r="BQ31" s="553"/>
      <c r="BR31" s="553"/>
      <c r="BS31" s="553"/>
      <c r="BT31" s="553"/>
      <c r="BU31" s="553"/>
      <c r="BV31" s="553"/>
      <c r="BW31" s="553"/>
      <c r="BX31" s="553"/>
      <c r="BY31" s="553"/>
      <c r="BZ31" s="553"/>
      <c r="CA31" s="553"/>
      <c r="CB31" s="553"/>
      <c r="CC31" s="553"/>
      <c r="CD31" s="553"/>
      <c r="CE31" s="553"/>
      <c r="CF31" s="553"/>
      <c r="CG31" s="553"/>
      <c r="CH31" s="553"/>
      <c r="CI31" s="553"/>
      <c r="CJ31" s="553"/>
      <c r="CK31" s="553"/>
      <c r="CL31" s="553"/>
      <c r="CM31" s="553"/>
      <c r="CN31" s="553"/>
      <c r="CO31" s="553"/>
      <c r="CP31" s="553"/>
      <c r="CQ31" s="553"/>
      <c r="CR31" s="553"/>
      <c r="CS31" s="553"/>
      <c r="CT31" s="553"/>
      <c r="CU31" s="553"/>
      <c r="CV31" s="553"/>
      <c r="CW31" s="553"/>
      <c r="CX31" s="553"/>
      <c r="CY31" s="553"/>
      <c r="CZ31" s="553"/>
      <c r="DA31" s="553"/>
      <c r="DB31" s="553"/>
      <c r="DC31" s="553"/>
      <c r="DD31" s="553"/>
      <c r="DE31" s="553"/>
      <c r="DF31" s="556"/>
      <c r="DG31" s="553"/>
      <c r="DH31" s="553"/>
      <c r="DI31" s="553"/>
      <c r="DJ31" s="553"/>
      <c r="DK31" s="553"/>
      <c r="DL31" s="556"/>
      <c r="DM31" s="556"/>
      <c r="DN31" s="556"/>
      <c r="DO31" s="556"/>
      <c r="DP31" s="553"/>
      <c r="DQ31" s="553"/>
      <c r="DR31" s="553"/>
      <c r="DS31" s="553"/>
      <c r="DT31" s="553"/>
      <c r="DU31" s="553"/>
      <c r="DV31" s="553"/>
      <c r="DW31" s="553"/>
      <c r="DX31" s="556"/>
      <c r="DY31" s="553"/>
      <c r="DZ31" s="553"/>
      <c r="EA31" s="553"/>
      <c r="EB31" s="553"/>
      <c r="EC31" s="553"/>
      <c r="ED31" s="553"/>
      <c r="EE31" s="553"/>
      <c r="EF31" s="553"/>
      <c r="EG31" s="553"/>
      <c r="EH31" s="553"/>
      <c r="EI31" s="553"/>
      <c r="EJ31" s="553"/>
      <c r="EK31" s="553"/>
      <c r="EL31" s="553"/>
    </row>
    <row r="32" spans="1:142" s="44" customFormat="1" ht="60" customHeight="1">
      <c r="A32" s="542">
        <v>3</v>
      </c>
      <c r="B32" s="858"/>
      <c r="C32" s="542" t="s">
        <v>942</v>
      </c>
      <c r="D32" s="881"/>
      <c r="E32" s="881"/>
      <c r="F32" s="542" t="s">
        <v>940</v>
      </c>
      <c r="G32" s="547">
        <v>485</v>
      </c>
      <c r="H32" s="546"/>
      <c r="I32" s="546"/>
      <c r="J32" s="546"/>
      <c r="K32" s="547">
        <v>250</v>
      </c>
      <c r="L32" s="548" t="s">
        <v>672</v>
      </c>
      <c r="M32" s="548" t="s">
        <v>672</v>
      </c>
      <c r="N32" s="549" t="s">
        <v>672</v>
      </c>
      <c r="O32" s="548" t="s">
        <v>672</v>
      </c>
      <c r="P32" s="548">
        <f t="shared" si="12"/>
        <v>250</v>
      </c>
      <c r="Q32" s="548">
        <f>K32*0.77</f>
        <v>192.5</v>
      </c>
      <c r="R32" s="549" t="s">
        <v>672</v>
      </c>
      <c r="S32" s="548" t="s">
        <v>672</v>
      </c>
      <c r="T32" s="549" t="s">
        <v>672</v>
      </c>
      <c r="U32" s="549" t="s">
        <v>672</v>
      </c>
      <c r="V32" s="549">
        <f t="shared" si="13"/>
        <v>192.5</v>
      </c>
      <c r="W32" s="548">
        <f t="shared" si="14"/>
        <v>57.5</v>
      </c>
      <c r="X32" s="550">
        <v>0</v>
      </c>
      <c r="Y32" s="550">
        <v>0</v>
      </c>
      <c r="Z32" s="550">
        <v>0</v>
      </c>
      <c r="AA32" s="551">
        <f t="shared" si="15"/>
        <v>0</v>
      </c>
      <c r="AB32" s="551">
        <f>Y32/1.06</f>
        <v>0</v>
      </c>
      <c r="AC32" s="551">
        <f>Z32/1.06</f>
        <v>0</v>
      </c>
      <c r="AD32" s="551">
        <f t="shared" si="16"/>
        <v>0</v>
      </c>
      <c r="AE32" s="552">
        <f t="shared" si="17"/>
        <v>0</v>
      </c>
      <c r="AF32" s="552">
        <f t="shared" si="18"/>
        <v>0</v>
      </c>
      <c r="AG32" s="552">
        <f t="shared" si="19"/>
        <v>0</v>
      </c>
      <c r="AH32" s="552">
        <f t="shared" si="20"/>
        <v>0</v>
      </c>
      <c r="AI32" s="553"/>
      <c r="AJ32" s="553"/>
      <c r="AK32" s="553"/>
      <c r="AL32" s="553"/>
      <c r="AM32" s="553"/>
      <c r="AN32" s="553"/>
      <c r="AO32" s="553"/>
      <c r="AP32" s="553"/>
      <c r="AQ32" s="553"/>
      <c r="AR32" s="553"/>
      <c r="AS32" s="553"/>
      <c r="AT32" s="553"/>
      <c r="AU32" s="553"/>
      <c r="AV32" s="553"/>
      <c r="AW32" s="553"/>
      <c r="AX32" s="553"/>
      <c r="AY32" s="553"/>
      <c r="AZ32" s="553"/>
      <c r="BA32" s="553"/>
      <c r="BB32" s="553"/>
      <c r="BC32" s="553"/>
      <c r="BD32" s="553"/>
      <c r="BE32" s="553"/>
      <c r="BF32" s="553"/>
      <c r="BG32" s="553"/>
      <c r="BH32" s="553"/>
      <c r="BI32" s="553"/>
      <c r="BJ32" s="553"/>
      <c r="BK32" s="553"/>
      <c r="BL32" s="553"/>
      <c r="BM32" s="553"/>
      <c r="BN32" s="553"/>
      <c r="BO32" s="553"/>
      <c r="BP32" s="553"/>
      <c r="BQ32" s="553"/>
      <c r="BR32" s="553"/>
      <c r="BS32" s="553"/>
      <c r="BT32" s="553"/>
      <c r="BU32" s="553"/>
      <c r="BV32" s="553"/>
      <c r="BW32" s="553"/>
      <c r="BX32" s="553"/>
      <c r="BY32" s="553"/>
      <c r="BZ32" s="553"/>
      <c r="CA32" s="553"/>
      <c r="CB32" s="553"/>
      <c r="CC32" s="553"/>
      <c r="CD32" s="553"/>
      <c r="CE32" s="553"/>
      <c r="CF32" s="553"/>
      <c r="CG32" s="553"/>
      <c r="CH32" s="553"/>
      <c r="CI32" s="553"/>
      <c r="CJ32" s="553"/>
      <c r="CK32" s="553"/>
      <c r="CL32" s="553"/>
      <c r="CM32" s="553"/>
      <c r="CN32" s="553"/>
      <c r="CO32" s="553"/>
      <c r="CP32" s="553"/>
      <c r="CQ32" s="553"/>
      <c r="CR32" s="553"/>
      <c r="CS32" s="553"/>
      <c r="CT32" s="553"/>
      <c r="CU32" s="553"/>
      <c r="CV32" s="553"/>
      <c r="CW32" s="553"/>
      <c r="CX32" s="553"/>
      <c r="CY32" s="553"/>
      <c r="CZ32" s="553"/>
      <c r="DA32" s="553"/>
      <c r="DB32" s="553"/>
      <c r="DC32" s="553"/>
      <c r="DD32" s="553"/>
      <c r="DE32" s="553"/>
      <c r="DF32" s="556"/>
      <c r="DG32" s="553"/>
      <c r="DH32" s="553"/>
      <c r="DI32" s="553"/>
      <c r="DJ32" s="553"/>
      <c r="DK32" s="553"/>
      <c r="DL32" s="556"/>
      <c r="DM32" s="556"/>
      <c r="DN32" s="556"/>
      <c r="DO32" s="556"/>
      <c r="DP32" s="553"/>
      <c r="DQ32" s="553"/>
      <c r="DR32" s="553"/>
      <c r="DS32" s="553"/>
      <c r="DT32" s="553"/>
      <c r="DU32" s="553"/>
      <c r="DV32" s="553"/>
      <c r="DW32" s="553"/>
      <c r="DX32" s="556"/>
      <c r="DY32" s="553"/>
      <c r="DZ32" s="553"/>
      <c r="EA32" s="553"/>
      <c r="EB32" s="553"/>
      <c r="EC32" s="553"/>
      <c r="ED32" s="553"/>
      <c r="EE32" s="553"/>
      <c r="EF32" s="553"/>
      <c r="EG32" s="553"/>
      <c r="EH32" s="553"/>
      <c r="EI32" s="553"/>
      <c r="EJ32" s="553"/>
      <c r="EK32" s="553"/>
      <c r="EL32" s="553"/>
    </row>
    <row r="33" spans="1:142" s="44" customFormat="1" ht="60" customHeight="1">
      <c r="A33" s="557">
        <v>4</v>
      </c>
      <c r="B33" s="858"/>
      <c r="C33" s="557" t="s">
        <v>943</v>
      </c>
      <c r="D33" s="881"/>
      <c r="E33" s="881"/>
      <c r="F33" s="557" t="s">
        <v>940</v>
      </c>
      <c r="G33" s="547">
        <v>240</v>
      </c>
      <c r="H33" s="558"/>
      <c r="I33" s="558"/>
      <c r="J33" s="558"/>
      <c r="K33" s="559">
        <v>125</v>
      </c>
      <c r="L33" s="549" t="s">
        <v>672</v>
      </c>
      <c r="M33" s="549" t="s">
        <v>672</v>
      </c>
      <c r="N33" s="549" t="s">
        <v>672</v>
      </c>
      <c r="O33" s="549" t="s">
        <v>672</v>
      </c>
      <c r="P33" s="549">
        <f t="shared" si="12"/>
        <v>125</v>
      </c>
      <c r="Q33" s="549">
        <f>K33*0.67</f>
        <v>83.75</v>
      </c>
      <c r="R33" s="549" t="s">
        <v>672</v>
      </c>
      <c r="S33" s="549" t="s">
        <v>672</v>
      </c>
      <c r="T33" s="549" t="s">
        <v>672</v>
      </c>
      <c r="U33" s="549" t="s">
        <v>672</v>
      </c>
      <c r="V33" s="549">
        <f t="shared" si="13"/>
        <v>83.75</v>
      </c>
      <c r="W33" s="549">
        <f t="shared" si="14"/>
        <v>41.25</v>
      </c>
      <c r="X33" s="560">
        <v>0</v>
      </c>
      <c r="Y33" s="560">
        <v>0</v>
      </c>
      <c r="Z33" s="560">
        <v>0</v>
      </c>
      <c r="AA33" s="561">
        <f t="shared" si="15"/>
        <v>0</v>
      </c>
      <c r="AB33" s="551">
        <f>Y33/1.06</f>
        <v>0</v>
      </c>
      <c r="AC33" s="551">
        <f>Z33/1.03</f>
        <v>0</v>
      </c>
      <c r="AD33" s="551">
        <f t="shared" si="16"/>
        <v>0</v>
      </c>
      <c r="AE33" s="552">
        <f t="shared" si="17"/>
        <v>0</v>
      </c>
      <c r="AF33" s="552">
        <f t="shared" si="18"/>
        <v>0</v>
      </c>
      <c r="AG33" s="552">
        <f t="shared" si="19"/>
        <v>0</v>
      </c>
      <c r="AH33" s="552">
        <f t="shared" si="20"/>
        <v>0</v>
      </c>
      <c r="AI33" s="562"/>
      <c r="AJ33" s="562"/>
      <c r="AK33" s="562"/>
      <c r="AL33" s="562"/>
      <c r="AM33" s="562"/>
      <c r="AN33" s="562"/>
      <c r="AO33" s="562"/>
      <c r="AP33" s="562"/>
      <c r="AQ33" s="562"/>
      <c r="AR33" s="562"/>
      <c r="AS33" s="562"/>
      <c r="AT33" s="562"/>
      <c r="AU33" s="562"/>
      <c r="AV33" s="562"/>
      <c r="AW33" s="562"/>
      <c r="AX33" s="562"/>
      <c r="AY33" s="562"/>
      <c r="AZ33" s="562"/>
      <c r="BA33" s="562"/>
      <c r="BB33" s="562"/>
      <c r="BC33" s="562"/>
      <c r="BD33" s="562"/>
      <c r="BE33" s="562"/>
      <c r="BF33" s="562"/>
      <c r="BG33" s="562"/>
      <c r="BH33" s="562"/>
      <c r="BI33" s="562"/>
      <c r="BJ33" s="562"/>
      <c r="BK33" s="562"/>
      <c r="BL33" s="562"/>
      <c r="BM33" s="562"/>
      <c r="BN33" s="562"/>
      <c r="BO33" s="562"/>
      <c r="BP33" s="562"/>
      <c r="BQ33" s="562"/>
      <c r="BR33" s="562"/>
      <c r="BS33" s="562"/>
      <c r="BT33" s="562"/>
      <c r="BU33" s="562"/>
      <c r="BV33" s="562"/>
      <c r="BW33" s="562"/>
      <c r="BX33" s="562"/>
      <c r="BY33" s="562"/>
      <c r="BZ33" s="562"/>
      <c r="CA33" s="562"/>
      <c r="CB33" s="562"/>
      <c r="CC33" s="562"/>
      <c r="CD33" s="562"/>
      <c r="CE33" s="562"/>
      <c r="CF33" s="562"/>
      <c r="CG33" s="562"/>
      <c r="CH33" s="562"/>
      <c r="CI33" s="562"/>
      <c r="CJ33" s="562"/>
      <c r="CK33" s="562"/>
      <c r="CL33" s="562"/>
      <c r="CM33" s="562"/>
      <c r="CN33" s="562"/>
      <c r="CO33" s="562"/>
      <c r="CP33" s="562"/>
      <c r="CQ33" s="562"/>
      <c r="CR33" s="562"/>
      <c r="CS33" s="562"/>
      <c r="CT33" s="562"/>
      <c r="CU33" s="562"/>
      <c r="CV33" s="562"/>
      <c r="CW33" s="562"/>
      <c r="CX33" s="562"/>
      <c r="CY33" s="562"/>
      <c r="CZ33" s="562"/>
      <c r="DA33" s="562"/>
      <c r="DB33" s="562"/>
      <c r="DC33" s="562"/>
      <c r="DD33" s="562"/>
      <c r="DE33" s="562"/>
      <c r="DF33" s="563"/>
      <c r="DG33" s="562"/>
      <c r="DH33" s="562"/>
      <c r="DI33" s="562"/>
      <c r="DJ33" s="562"/>
      <c r="DK33" s="562"/>
      <c r="DL33" s="563"/>
      <c r="DM33" s="563"/>
      <c r="DN33" s="563"/>
      <c r="DO33" s="563"/>
      <c r="DP33" s="562"/>
      <c r="DQ33" s="562"/>
      <c r="DR33" s="562"/>
      <c r="DS33" s="562"/>
      <c r="DT33" s="562"/>
      <c r="DU33" s="562"/>
      <c r="DV33" s="562"/>
      <c r="DW33" s="562"/>
      <c r="DX33" s="563"/>
      <c r="DY33" s="562"/>
      <c r="DZ33" s="562"/>
      <c r="EA33" s="562"/>
      <c r="EB33" s="562"/>
      <c r="EC33" s="562"/>
      <c r="ED33" s="562"/>
      <c r="EE33" s="562"/>
      <c r="EF33" s="562"/>
      <c r="EG33" s="562"/>
      <c r="EH33" s="562"/>
      <c r="EI33" s="562"/>
      <c r="EJ33" s="562"/>
      <c r="EK33" s="562"/>
      <c r="EL33" s="562"/>
    </row>
    <row r="34" spans="1:142" s="44" customFormat="1" ht="60" customHeight="1">
      <c r="A34" s="542">
        <v>5</v>
      </c>
      <c r="B34" s="807"/>
      <c r="C34" s="564" t="s">
        <v>944</v>
      </c>
      <c r="D34" s="881"/>
      <c r="E34" s="820"/>
      <c r="F34" s="557" t="s">
        <v>940</v>
      </c>
      <c r="G34" s="559">
        <v>725</v>
      </c>
      <c r="H34" s="558"/>
      <c r="I34" s="558"/>
      <c r="J34" s="546"/>
      <c r="K34" s="559">
        <v>380</v>
      </c>
      <c r="L34" s="548" t="s">
        <v>672</v>
      </c>
      <c r="M34" s="548" t="s">
        <v>672</v>
      </c>
      <c r="N34" s="549" t="s">
        <v>672</v>
      </c>
      <c r="O34" s="548" t="s">
        <v>672</v>
      </c>
      <c r="P34" s="548">
        <f t="shared" si="12"/>
        <v>380</v>
      </c>
      <c r="Q34" s="548">
        <f>K34*0.69</f>
        <v>262.2</v>
      </c>
      <c r="R34" s="549" t="s">
        <v>672</v>
      </c>
      <c r="S34" s="548" t="s">
        <v>672</v>
      </c>
      <c r="T34" s="549" t="s">
        <v>672</v>
      </c>
      <c r="U34" s="549" t="s">
        <v>672</v>
      </c>
      <c r="V34" s="549">
        <f t="shared" si="13"/>
        <v>262.2</v>
      </c>
      <c r="W34" s="548">
        <f t="shared" si="14"/>
        <v>117.80000000000001</v>
      </c>
      <c r="X34" s="550">
        <v>0</v>
      </c>
      <c r="Y34" s="550">
        <v>0</v>
      </c>
      <c r="Z34" s="550">
        <v>0</v>
      </c>
      <c r="AA34" s="551">
        <f t="shared" si="15"/>
        <v>0</v>
      </c>
      <c r="AB34" s="551">
        <f>Y34/1.06</f>
        <v>0</v>
      </c>
      <c r="AC34" s="551">
        <f>Z34/1.06</f>
        <v>0</v>
      </c>
      <c r="AD34" s="551">
        <f t="shared" si="16"/>
        <v>0</v>
      </c>
      <c r="AE34" s="552">
        <f t="shared" si="17"/>
        <v>0</v>
      </c>
      <c r="AF34" s="552">
        <f t="shared" si="18"/>
        <v>0</v>
      </c>
      <c r="AG34" s="552">
        <f t="shared" si="19"/>
        <v>0</v>
      </c>
      <c r="AH34" s="552">
        <f t="shared" si="20"/>
        <v>0</v>
      </c>
      <c r="AI34" s="553"/>
      <c r="AJ34" s="553"/>
      <c r="AK34" s="553"/>
      <c r="AL34" s="553"/>
      <c r="AM34" s="553"/>
      <c r="AN34" s="553"/>
      <c r="AO34" s="553"/>
      <c r="AP34" s="553"/>
      <c r="AQ34" s="553"/>
      <c r="AR34" s="553"/>
      <c r="AS34" s="553"/>
      <c r="AT34" s="553"/>
      <c r="AU34" s="553"/>
      <c r="AV34" s="553"/>
      <c r="AW34" s="553"/>
      <c r="AX34" s="553"/>
      <c r="AY34" s="553"/>
      <c r="AZ34" s="553"/>
      <c r="BA34" s="553"/>
      <c r="BB34" s="553"/>
      <c r="BC34" s="553"/>
      <c r="BD34" s="553"/>
      <c r="BE34" s="553"/>
      <c r="BF34" s="553"/>
      <c r="BG34" s="553"/>
      <c r="BH34" s="553"/>
      <c r="BI34" s="553"/>
      <c r="BJ34" s="553"/>
      <c r="BK34" s="553"/>
      <c r="BL34" s="553"/>
      <c r="BM34" s="553"/>
      <c r="BN34" s="553"/>
      <c r="BO34" s="553"/>
      <c r="BP34" s="553"/>
      <c r="BQ34" s="553"/>
      <c r="BR34" s="553"/>
      <c r="BS34" s="553"/>
      <c r="BT34" s="553"/>
      <c r="BU34" s="553"/>
      <c r="BV34" s="553"/>
      <c r="BW34" s="553"/>
      <c r="BX34" s="553"/>
      <c r="BY34" s="553"/>
      <c r="BZ34" s="553"/>
      <c r="CA34" s="553"/>
      <c r="CB34" s="553"/>
      <c r="CC34" s="553"/>
      <c r="CD34" s="553"/>
      <c r="CE34" s="553"/>
      <c r="CF34" s="553"/>
      <c r="CG34" s="553"/>
      <c r="CH34" s="553"/>
      <c r="CI34" s="553"/>
      <c r="CJ34" s="553"/>
      <c r="CK34" s="553"/>
      <c r="CL34" s="553"/>
      <c r="CM34" s="553"/>
      <c r="CN34" s="553"/>
      <c r="CO34" s="553"/>
      <c r="CP34" s="553"/>
      <c r="CQ34" s="553"/>
      <c r="CR34" s="553"/>
      <c r="CS34" s="553"/>
      <c r="CT34" s="553"/>
      <c r="CU34" s="553"/>
      <c r="CV34" s="553"/>
      <c r="CW34" s="553"/>
      <c r="CX34" s="553"/>
      <c r="CY34" s="553"/>
      <c r="CZ34" s="553"/>
      <c r="DA34" s="553"/>
      <c r="DB34" s="553"/>
      <c r="DC34" s="553"/>
      <c r="DD34" s="553"/>
      <c r="DE34" s="553"/>
      <c r="DF34" s="556"/>
      <c r="DG34" s="553"/>
      <c r="DH34" s="553"/>
      <c r="DI34" s="553"/>
      <c r="DJ34" s="553"/>
      <c r="DK34" s="553"/>
      <c r="DL34" s="556"/>
      <c r="DM34" s="556"/>
      <c r="DN34" s="556"/>
      <c r="DO34" s="556"/>
      <c r="DP34" s="553"/>
      <c r="DQ34" s="553"/>
      <c r="DR34" s="553"/>
      <c r="DS34" s="553"/>
      <c r="DT34" s="553"/>
      <c r="DU34" s="553"/>
      <c r="DV34" s="553"/>
      <c r="DW34" s="553"/>
      <c r="DX34" s="556"/>
      <c r="DY34" s="553"/>
      <c r="DZ34" s="553"/>
      <c r="EA34" s="553"/>
      <c r="EB34" s="553"/>
      <c r="EC34" s="553"/>
      <c r="ED34" s="553"/>
      <c r="EE34" s="553"/>
      <c r="EF34" s="553"/>
      <c r="EG34" s="553"/>
      <c r="EH34" s="553"/>
      <c r="EI34" s="553"/>
      <c r="EJ34" s="553"/>
      <c r="EK34" s="553"/>
      <c r="EL34" s="553"/>
    </row>
    <row r="35" spans="1:142" s="44" customFormat="1" ht="75" customHeight="1">
      <c r="A35" s="542">
        <v>6</v>
      </c>
      <c r="B35" s="557" t="s">
        <v>945</v>
      </c>
      <c r="C35" s="564" t="s">
        <v>946</v>
      </c>
      <c r="D35" s="820"/>
      <c r="E35" s="565" t="s">
        <v>947</v>
      </c>
      <c r="F35" s="557" t="s">
        <v>940</v>
      </c>
      <c r="G35" s="558">
        <v>130</v>
      </c>
      <c r="H35" s="558"/>
      <c r="I35" s="558"/>
      <c r="J35" s="546"/>
      <c r="K35" s="546">
        <v>600</v>
      </c>
      <c r="L35" s="548" t="s">
        <v>672</v>
      </c>
      <c r="M35" s="548" t="s">
        <v>672</v>
      </c>
      <c r="N35" s="549" t="s">
        <v>672</v>
      </c>
      <c r="O35" s="548" t="s">
        <v>672</v>
      </c>
      <c r="P35" s="548">
        <f t="shared" si="12"/>
        <v>600</v>
      </c>
      <c r="Q35" s="546">
        <v>500</v>
      </c>
      <c r="R35" s="549" t="s">
        <v>672</v>
      </c>
      <c r="S35" s="548" t="s">
        <v>672</v>
      </c>
      <c r="T35" s="549" t="s">
        <v>672</v>
      </c>
      <c r="U35" s="549" t="s">
        <v>672</v>
      </c>
      <c r="V35" s="549">
        <f t="shared" si="13"/>
        <v>500</v>
      </c>
      <c r="W35" s="548">
        <f t="shared" si="14"/>
        <v>100</v>
      </c>
      <c r="X35" s="550">
        <v>0</v>
      </c>
      <c r="Y35" s="550">
        <v>0</v>
      </c>
      <c r="Z35" s="550">
        <v>0</v>
      </c>
      <c r="AA35" s="551">
        <f t="shared" si="15"/>
        <v>0</v>
      </c>
      <c r="AB35" s="550">
        <v>0</v>
      </c>
      <c r="AC35" s="550">
        <v>0</v>
      </c>
      <c r="AD35" s="551">
        <f t="shared" si="16"/>
        <v>0</v>
      </c>
      <c r="AE35" s="552">
        <f t="shared" si="17"/>
        <v>0</v>
      </c>
      <c r="AF35" s="552">
        <f t="shared" si="18"/>
        <v>0</v>
      </c>
      <c r="AG35" s="552">
        <f t="shared" si="19"/>
        <v>0</v>
      </c>
      <c r="AH35" s="552">
        <f t="shared" si="20"/>
        <v>0</v>
      </c>
      <c r="AI35" s="553"/>
      <c r="AJ35" s="553"/>
      <c r="AK35" s="553"/>
      <c r="AL35" s="553"/>
      <c r="AM35" s="553"/>
      <c r="AN35" s="553"/>
      <c r="AO35" s="553"/>
      <c r="AP35" s="553"/>
      <c r="AQ35" s="553"/>
      <c r="AR35" s="553"/>
      <c r="AS35" s="553"/>
      <c r="AT35" s="553"/>
      <c r="AU35" s="553"/>
      <c r="AV35" s="553"/>
      <c r="AW35" s="553"/>
      <c r="AX35" s="553"/>
      <c r="AY35" s="553"/>
      <c r="AZ35" s="553"/>
      <c r="BA35" s="553">
        <v>0</v>
      </c>
      <c r="BB35" s="553">
        <v>0</v>
      </c>
      <c r="BC35" s="553"/>
      <c r="BD35" s="553"/>
      <c r="BE35" s="553"/>
      <c r="BF35" s="553"/>
      <c r="BG35" s="553"/>
      <c r="BH35" s="553"/>
      <c r="BI35" s="553"/>
      <c r="BJ35" s="553"/>
      <c r="BK35" s="553"/>
      <c r="BL35" s="553"/>
      <c r="BM35" s="553"/>
      <c r="BN35" s="553"/>
      <c r="BO35" s="553"/>
      <c r="BP35" s="553"/>
      <c r="BQ35" s="553"/>
      <c r="BR35" s="553"/>
      <c r="BS35" s="553"/>
      <c r="BT35" s="553"/>
      <c r="BU35" s="553"/>
      <c r="BV35" s="553"/>
      <c r="BW35" s="553"/>
      <c r="BX35" s="553"/>
      <c r="BY35" s="553"/>
      <c r="BZ35" s="553"/>
      <c r="CA35" s="553"/>
      <c r="CB35" s="553"/>
      <c r="CC35" s="553"/>
      <c r="CD35" s="553"/>
      <c r="CE35" s="553"/>
      <c r="CF35" s="553"/>
      <c r="CG35" s="553"/>
      <c r="CH35" s="553"/>
      <c r="CI35" s="553"/>
      <c r="CJ35" s="553"/>
      <c r="CK35" s="553"/>
      <c r="CL35" s="553"/>
      <c r="CM35" s="553"/>
      <c r="CN35" s="553"/>
      <c r="CO35" s="553"/>
      <c r="CP35" s="553"/>
      <c r="CQ35" s="553"/>
      <c r="CR35" s="553"/>
      <c r="CS35" s="553"/>
      <c r="CT35" s="553"/>
      <c r="CU35" s="553"/>
      <c r="CV35" s="553"/>
      <c r="CW35" s="553"/>
      <c r="CX35" s="553"/>
      <c r="CY35" s="553"/>
      <c r="CZ35" s="553"/>
      <c r="DA35" s="553"/>
      <c r="DB35" s="553"/>
      <c r="DC35" s="553"/>
      <c r="DD35" s="553"/>
      <c r="DE35" s="553"/>
      <c r="DF35" s="556"/>
      <c r="DG35" s="553"/>
      <c r="DH35" s="553"/>
      <c r="DI35" s="553"/>
      <c r="DJ35" s="553"/>
      <c r="DK35" s="553"/>
      <c r="DL35" s="556"/>
      <c r="DM35" s="556"/>
      <c r="DN35" s="556"/>
      <c r="DO35" s="556"/>
      <c r="DP35" s="553"/>
      <c r="DQ35" s="553"/>
      <c r="DR35" s="553"/>
      <c r="DS35" s="553"/>
      <c r="DT35" s="553"/>
      <c r="DU35" s="553"/>
      <c r="DV35" s="553"/>
      <c r="DW35" s="553"/>
      <c r="DX35" s="556"/>
      <c r="DY35" s="553"/>
      <c r="DZ35" s="553"/>
      <c r="EA35" s="553"/>
      <c r="EB35" s="553"/>
      <c r="EC35" s="553"/>
      <c r="ED35" s="553"/>
      <c r="EE35" s="553"/>
      <c r="EF35" s="553"/>
      <c r="EG35" s="553"/>
      <c r="EH35" s="553"/>
      <c r="EI35" s="553"/>
      <c r="EJ35" s="553"/>
      <c r="EK35" s="553"/>
      <c r="EL35" s="553"/>
    </row>
    <row r="36" spans="1:142" s="782" customFormat="1" ht="20.25" customHeight="1">
      <c r="A36" s="848" t="s">
        <v>924</v>
      </c>
      <c r="B36" s="807"/>
      <c r="C36" s="807"/>
      <c r="D36" s="849"/>
      <c r="E36" s="849"/>
      <c r="F36" s="849"/>
      <c r="G36" s="534">
        <f t="shared" ref="G36:AL36" si="21">SUM(G30:G35)</f>
        <v>3030</v>
      </c>
      <c r="H36" s="534">
        <f t="shared" si="21"/>
        <v>0</v>
      </c>
      <c r="I36" s="522">
        <f t="shared" si="21"/>
        <v>0</v>
      </c>
      <c r="J36" s="522">
        <f t="shared" si="21"/>
        <v>0</v>
      </c>
      <c r="K36" s="522">
        <f t="shared" si="21"/>
        <v>3000</v>
      </c>
      <c r="L36" s="522">
        <f t="shared" si="21"/>
        <v>0</v>
      </c>
      <c r="M36" s="522">
        <f t="shared" si="21"/>
        <v>0</v>
      </c>
      <c r="N36" s="523">
        <f t="shared" si="21"/>
        <v>0</v>
      </c>
      <c r="O36" s="522">
        <f t="shared" si="21"/>
        <v>0</v>
      </c>
      <c r="P36" s="522">
        <f t="shared" si="21"/>
        <v>3000</v>
      </c>
      <c r="Q36" s="522">
        <f t="shared" si="21"/>
        <v>1581.95</v>
      </c>
      <c r="R36" s="523">
        <f t="shared" si="21"/>
        <v>0</v>
      </c>
      <c r="S36" s="522">
        <f t="shared" si="21"/>
        <v>0</v>
      </c>
      <c r="T36" s="523">
        <f t="shared" si="21"/>
        <v>0</v>
      </c>
      <c r="U36" s="523">
        <f t="shared" si="21"/>
        <v>0</v>
      </c>
      <c r="V36" s="523">
        <f t="shared" si="21"/>
        <v>1581.95</v>
      </c>
      <c r="W36" s="522">
        <f t="shared" si="21"/>
        <v>1418.05</v>
      </c>
      <c r="X36" s="522">
        <f t="shared" si="21"/>
        <v>0</v>
      </c>
      <c r="Y36" s="522">
        <f t="shared" si="21"/>
        <v>0</v>
      </c>
      <c r="Z36" s="522">
        <f t="shared" si="21"/>
        <v>0</v>
      </c>
      <c r="AA36" s="522">
        <f t="shared" si="21"/>
        <v>0</v>
      </c>
      <c r="AB36" s="522">
        <f t="shared" si="21"/>
        <v>0</v>
      </c>
      <c r="AC36" s="522">
        <f t="shared" si="21"/>
        <v>0</v>
      </c>
      <c r="AD36" s="522">
        <f t="shared" si="21"/>
        <v>0</v>
      </c>
      <c r="AE36" s="522">
        <f t="shared" si="21"/>
        <v>0</v>
      </c>
      <c r="AF36" s="522">
        <f t="shared" si="21"/>
        <v>0</v>
      </c>
      <c r="AG36" s="522">
        <f t="shared" si="21"/>
        <v>0</v>
      </c>
      <c r="AH36" s="522">
        <f t="shared" si="21"/>
        <v>0</v>
      </c>
      <c r="AI36" s="522">
        <f t="shared" si="21"/>
        <v>0</v>
      </c>
      <c r="AJ36" s="522">
        <f t="shared" si="21"/>
        <v>0</v>
      </c>
      <c r="AK36" s="522">
        <f t="shared" si="21"/>
        <v>0</v>
      </c>
      <c r="AL36" s="522">
        <f t="shared" si="21"/>
        <v>0</v>
      </c>
      <c r="AM36" s="522">
        <f t="shared" ref="AM36:BR36" si="22">SUM(AM30:AM35)</f>
        <v>0</v>
      </c>
      <c r="AN36" s="522">
        <f t="shared" si="22"/>
        <v>0</v>
      </c>
      <c r="AO36" s="522">
        <f t="shared" si="22"/>
        <v>0</v>
      </c>
      <c r="AP36" s="522">
        <f t="shared" si="22"/>
        <v>0</v>
      </c>
      <c r="AQ36" s="522">
        <f t="shared" si="22"/>
        <v>0</v>
      </c>
      <c r="AR36" s="522">
        <f t="shared" si="22"/>
        <v>0</v>
      </c>
      <c r="AS36" s="522">
        <f t="shared" si="22"/>
        <v>0</v>
      </c>
      <c r="AT36" s="522">
        <f t="shared" si="22"/>
        <v>0</v>
      </c>
      <c r="AU36" s="522">
        <f t="shared" si="22"/>
        <v>0</v>
      </c>
      <c r="AV36" s="522">
        <f t="shared" si="22"/>
        <v>0</v>
      </c>
      <c r="AW36" s="522">
        <f t="shared" si="22"/>
        <v>0</v>
      </c>
      <c r="AX36" s="522">
        <f t="shared" si="22"/>
        <v>0</v>
      </c>
      <c r="AY36" s="522">
        <f t="shared" si="22"/>
        <v>0</v>
      </c>
      <c r="AZ36" s="522">
        <f t="shared" si="22"/>
        <v>0</v>
      </c>
      <c r="BA36" s="522">
        <f t="shared" si="22"/>
        <v>0</v>
      </c>
      <c r="BB36" s="522">
        <f t="shared" si="22"/>
        <v>0</v>
      </c>
      <c r="BC36" s="522">
        <f t="shared" si="22"/>
        <v>0</v>
      </c>
      <c r="BD36" s="522">
        <f t="shared" si="22"/>
        <v>0</v>
      </c>
      <c r="BE36" s="522">
        <f t="shared" si="22"/>
        <v>0</v>
      </c>
      <c r="BF36" s="522">
        <f t="shared" si="22"/>
        <v>0</v>
      </c>
      <c r="BG36" s="522">
        <f t="shared" si="22"/>
        <v>0</v>
      </c>
      <c r="BH36" s="522">
        <f t="shared" si="22"/>
        <v>0</v>
      </c>
      <c r="BI36" s="522">
        <f t="shared" si="22"/>
        <v>0</v>
      </c>
      <c r="BJ36" s="522">
        <f t="shared" si="22"/>
        <v>0</v>
      </c>
      <c r="BK36" s="522">
        <f t="shared" si="22"/>
        <v>0</v>
      </c>
      <c r="BL36" s="522">
        <f t="shared" si="22"/>
        <v>0</v>
      </c>
      <c r="BM36" s="522">
        <f t="shared" si="22"/>
        <v>0</v>
      </c>
      <c r="BN36" s="522">
        <f t="shared" si="22"/>
        <v>0</v>
      </c>
      <c r="BO36" s="522">
        <f t="shared" si="22"/>
        <v>0</v>
      </c>
      <c r="BP36" s="522">
        <f t="shared" si="22"/>
        <v>0</v>
      </c>
      <c r="BQ36" s="522">
        <f t="shared" si="22"/>
        <v>0</v>
      </c>
      <c r="BR36" s="522">
        <f t="shared" si="22"/>
        <v>0</v>
      </c>
      <c r="BS36" s="523">
        <f t="shared" ref="BS36:CX36" si="23">SUM(BS30:BS35)</f>
        <v>0</v>
      </c>
      <c r="BT36" s="522">
        <f t="shared" si="23"/>
        <v>0</v>
      </c>
      <c r="BU36" s="522">
        <f t="shared" si="23"/>
        <v>0</v>
      </c>
      <c r="BV36" s="522">
        <f t="shared" si="23"/>
        <v>0</v>
      </c>
      <c r="BW36" s="523">
        <f t="shared" si="23"/>
        <v>0</v>
      </c>
      <c r="BX36" s="523">
        <f t="shared" si="23"/>
        <v>0</v>
      </c>
      <c r="BY36" s="523">
        <f t="shared" si="23"/>
        <v>0</v>
      </c>
      <c r="BZ36" s="523">
        <f t="shared" si="23"/>
        <v>0</v>
      </c>
      <c r="CA36" s="523">
        <f t="shared" si="23"/>
        <v>0</v>
      </c>
      <c r="CB36" s="523">
        <f t="shared" si="23"/>
        <v>0</v>
      </c>
      <c r="CC36" s="522">
        <f t="shared" si="23"/>
        <v>0</v>
      </c>
      <c r="CD36" s="522">
        <f t="shared" si="23"/>
        <v>0</v>
      </c>
      <c r="CE36" s="522">
        <f t="shared" si="23"/>
        <v>0</v>
      </c>
      <c r="CF36" s="522">
        <f t="shared" si="23"/>
        <v>0</v>
      </c>
      <c r="CG36" s="523">
        <f t="shared" si="23"/>
        <v>0</v>
      </c>
      <c r="CH36" s="523">
        <f t="shared" si="23"/>
        <v>0</v>
      </c>
      <c r="CI36" s="523">
        <f t="shared" si="23"/>
        <v>0</v>
      </c>
      <c r="CJ36" s="523">
        <f t="shared" si="23"/>
        <v>0</v>
      </c>
      <c r="CK36" s="523">
        <f t="shared" si="23"/>
        <v>0</v>
      </c>
      <c r="CL36" s="522">
        <f t="shared" si="23"/>
        <v>0</v>
      </c>
      <c r="CM36" s="522">
        <f t="shared" si="23"/>
        <v>0</v>
      </c>
      <c r="CN36" s="522">
        <f t="shared" si="23"/>
        <v>0</v>
      </c>
      <c r="CO36" s="523">
        <f t="shared" si="23"/>
        <v>0</v>
      </c>
      <c r="CP36" s="523">
        <f t="shared" si="23"/>
        <v>0</v>
      </c>
      <c r="CQ36" s="523">
        <f t="shared" si="23"/>
        <v>0</v>
      </c>
      <c r="CR36" s="523">
        <f t="shared" si="23"/>
        <v>0</v>
      </c>
      <c r="CS36" s="523">
        <f t="shared" si="23"/>
        <v>0</v>
      </c>
      <c r="CT36" s="523">
        <f t="shared" si="23"/>
        <v>0</v>
      </c>
      <c r="CU36" s="523">
        <f t="shared" si="23"/>
        <v>0</v>
      </c>
      <c r="CV36" s="522">
        <f t="shared" si="23"/>
        <v>0</v>
      </c>
      <c r="CW36" s="522">
        <f t="shared" si="23"/>
        <v>0</v>
      </c>
      <c r="CX36" s="523">
        <f t="shared" si="23"/>
        <v>0</v>
      </c>
      <c r="CY36" s="523">
        <f t="shared" ref="CY36:ED36" si="24">SUM(CY30:CY35)</f>
        <v>0</v>
      </c>
      <c r="CZ36" s="523">
        <f t="shared" si="24"/>
        <v>0</v>
      </c>
      <c r="DA36" s="523">
        <f t="shared" si="24"/>
        <v>0</v>
      </c>
      <c r="DB36" s="523">
        <f t="shared" si="24"/>
        <v>0</v>
      </c>
      <c r="DC36" s="523">
        <f t="shared" si="24"/>
        <v>0</v>
      </c>
      <c r="DD36" s="523">
        <f t="shared" si="24"/>
        <v>0</v>
      </c>
      <c r="DE36" s="522">
        <f t="shared" si="24"/>
        <v>0</v>
      </c>
      <c r="DF36" s="522">
        <f t="shared" si="24"/>
        <v>0</v>
      </c>
      <c r="DG36" s="523">
        <f t="shared" si="24"/>
        <v>0</v>
      </c>
      <c r="DH36" s="523">
        <f t="shared" si="24"/>
        <v>0</v>
      </c>
      <c r="DI36" s="523">
        <f t="shared" si="24"/>
        <v>0</v>
      </c>
      <c r="DJ36" s="523">
        <f t="shared" si="24"/>
        <v>0</v>
      </c>
      <c r="DK36" s="523">
        <f t="shared" si="24"/>
        <v>0</v>
      </c>
      <c r="DL36" s="523">
        <f t="shared" si="24"/>
        <v>0</v>
      </c>
      <c r="DM36" s="523">
        <f t="shared" si="24"/>
        <v>0</v>
      </c>
      <c r="DN36" s="522">
        <f t="shared" si="24"/>
        <v>0</v>
      </c>
      <c r="DO36" s="522">
        <f t="shared" si="24"/>
        <v>0</v>
      </c>
      <c r="DP36" s="523">
        <f t="shared" si="24"/>
        <v>0</v>
      </c>
      <c r="DQ36" s="523">
        <f t="shared" si="24"/>
        <v>0</v>
      </c>
      <c r="DR36" s="523">
        <f t="shared" si="24"/>
        <v>0</v>
      </c>
      <c r="DS36" s="523">
        <f t="shared" si="24"/>
        <v>0</v>
      </c>
      <c r="DT36" s="523">
        <f t="shared" si="24"/>
        <v>0</v>
      </c>
      <c r="DU36" s="523">
        <f t="shared" si="24"/>
        <v>0</v>
      </c>
      <c r="DV36" s="523">
        <f t="shared" si="24"/>
        <v>0</v>
      </c>
      <c r="DW36" s="522">
        <f t="shared" si="24"/>
        <v>0</v>
      </c>
      <c r="DX36" s="522">
        <f t="shared" si="24"/>
        <v>0</v>
      </c>
      <c r="DY36" s="523">
        <f t="shared" si="24"/>
        <v>0</v>
      </c>
      <c r="DZ36" s="523">
        <f t="shared" si="24"/>
        <v>0</v>
      </c>
      <c r="EA36" s="523">
        <f t="shared" si="24"/>
        <v>0</v>
      </c>
      <c r="EB36" s="523">
        <f t="shared" si="24"/>
        <v>0</v>
      </c>
      <c r="EC36" s="523">
        <f t="shared" si="24"/>
        <v>0</v>
      </c>
      <c r="ED36" s="523">
        <f t="shared" si="24"/>
        <v>0</v>
      </c>
      <c r="EE36" s="523">
        <f t="shared" ref="EE36:FJ36" si="25">SUM(EE30:EE35)</f>
        <v>0</v>
      </c>
      <c r="EF36" s="522">
        <f t="shared" si="25"/>
        <v>0</v>
      </c>
      <c r="EG36" s="522">
        <f t="shared" si="25"/>
        <v>0</v>
      </c>
      <c r="EH36" s="523">
        <f t="shared" si="25"/>
        <v>0</v>
      </c>
      <c r="EI36" s="523">
        <f t="shared" si="25"/>
        <v>0</v>
      </c>
      <c r="EJ36" s="523">
        <f t="shared" si="25"/>
        <v>0</v>
      </c>
      <c r="EK36" s="523">
        <f t="shared" si="25"/>
        <v>0</v>
      </c>
      <c r="EL36" s="523">
        <f t="shared" si="25"/>
        <v>0</v>
      </c>
    </row>
    <row r="37" spans="1:142" s="778" customFormat="1" ht="30" customHeight="1">
      <c r="A37" s="535" t="s">
        <v>934</v>
      </c>
      <c r="B37" s="536"/>
      <c r="C37" s="494" t="s">
        <v>948</v>
      </c>
      <c r="D37" s="535"/>
      <c r="E37" s="536"/>
      <c r="F37" s="535" t="s">
        <v>911</v>
      </c>
      <c r="G37" s="539"/>
      <c r="H37" s="539"/>
      <c r="I37" s="539"/>
      <c r="J37" s="539"/>
      <c r="K37" s="540"/>
      <c r="L37" s="540"/>
      <c r="M37" s="540"/>
      <c r="N37" s="541"/>
      <c r="O37" s="540"/>
      <c r="P37" s="540"/>
      <c r="Q37" s="540"/>
      <c r="R37" s="541"/>
      <c r="S37" s="540"/>
      <c r="T37" s="541"/>
      <c r="U37" s="541"/>
      <c r="V37" s="541"/>
      <c r="W37" s="540"/>
      <c r="X37" s="540"/>
      <c r="Y37" s="535"/>
      <c r="Z37" s="535"/>
      <c r="AA37" s="535"/>
      <c r="AB37" s="535"/>
      <c r="AC37" s="535"/>
      <c r="AD37" s="535"/>
      <c r="AE37" s="535"/>
      <c r="AF37" s="535"/>
      <c r="AG37" s="535"/>
      <c r="AH37" s="535"/>
      <c r="AI37" s="497"/>
      <c r="AJ37" s="497"/>
      <c r="AK37" s="497"/>
      <c r="AL37" s="497"/>
      <c r="AM37" s="497"/>
      <c r="AN37" s="497"/>
      <c r="AO37" s="497"/>
      <c r="AP37" s="497"/>
      <c r="AQ37" s="497"/>
      <c r="AR37" s="497"/>
      <c r="AS37" s="497"/>
      <c r="AT37" s="497"/>
      <c r="AU37" s="497"/>
      <c r="AV37" s="497"/>
      <c r="AW37" s="497"/>
      <c r="AX37" s="497"/>
      <c r="AY37" s="497"/>
      <c r="AZ37" s="497"/>
      <c r="BA37" s="497"/>
      <c r="BB37" s="497"/>
      <c r="BC37" s="497"/>
      <c r="BD37" s="497"/>
      <c r="BE37" s="497"/>
      <c r="BF37" s="497"/>
      <c r="BG37" s="497"/>
      <c r="BH37" s="497"/>
      <c r="BI37" s="497"/>
      <c r="BJ37" s="497"/>
      <c r="BK37" s="497"/>
      <c r="BL37" s="497"/>
      <c r="BM37" s="497"/>
      <c r="BN37" s="497"/>
      <c r="BO37" s="497"/>
      <c r="BP37" s="497"/>
      <c r="BQ37" s="497"/>
      <c r="BR37" s="497"/>
      <c r="BS37" s="497"/>
      <c r="BT37" s="497"/>
      <c r="BU37" s="497"/>
      <c r="BV37" s="497"/>
      <c r="BW37" s="497"/>
      <c r="BX37" s="497"/>
      <c r="BY37" s="497"/>
      <c r="BZ37" s="497"/>
      <c r="CA37" s="497"/>
      <c r="CB37" s="497"/>
      <c r="CC37" s="497"/>
      <c r="CD37" s="497"/>
      <c r="CE37" s="497"/>
      <c r="CF37" s="497"/>
      <c r="CG37" s="497"/>
      <c r="CH37" s="497"/>
      <c r="CI37" s="497"/>
      <c r="CJ37" s="497"/>
      <c r="CK37" s="497"/>
      <c r="CL37" s="497"/>
      <c r="CM37" s="497"/>
      <c r="CN37" s="497"/>
      <c r="CO37" s="497"/>
      <c r="CP37" s="497"/>
      <c r="CQ37" s="497"/>
      <c r="CR37" s="497"/>
      <c r="CS37" s="497"/>
      <c r="CT37" s="497"/>
      <c r="CU37" s="497"/>
      <c r="CV37" s="497"/>
      <c r="CW37" s="497"/>
      <c r="CX37" s="497"/>
      <c r="CY37" s="497"/>
      <c r="CZ37" s="497"/>
      <c r="DA37" s="497"/>
      <c r="DB37" s="497"/>
      <c r="DC37" s="497"/>
      <c r="DD37" s="497"/>
      <c r="DE37" s="497"/>
      <c r="DF37" s="498"/>
      <c r="DG37" s="497"/>
      <c r="DH37" s="497"/>
      <c r="DI37" s="497"/>
      <c r="DJ37" s="497"/>
      <c r="DK37" s="497"/>
      <c r="DL37" s="497"/>
      <c r="DM37" s="497"/>
      <c r="DN37" s="497"/>
      <c r="DO37" s="497"/>
      <c r="DP37" s="497"/>
      <c r="DQ37" s="497"/>
      <c r="DR37" s="497"/>
      <c r="DS37" s="497"/>
      <c r="DT37" s="497"/>
      <c r="DU37" s="497"/>
      <c r="DV37" s="497"/>
      <c r="DW37" s="497"/>
      <c r="DX37" s="497"/>
      <c r="DY37" s="497"/>
      <c r="DZ37" s="497"/>
      <c r="EA37" s="497"/>
      <c r="EB37" s="497"/>
      <c r="EC37" s="497"/>
      <c r="ED37" s="497"/>
      <c r="EE37" s="497"/>
      <c r="EF37" s="497"/>
      <c r="EG37" s="497"/>
      <c r="EH37" s="497"/>
      <c r="EI37" s="497"/>
      <c r="EJ37" s="497"/>
      <c r="EK37" s="497"/>
      <c r="EL37" s="497"/>
    </row>
    <row r="38" spans="1:142" s="44" customFormat="1" ht="50.25" customHeight="1">
      <c r="A38" s="566">
        <v>1</v>
      </c>
      <c r="B38" s="858" t="s">
        <v>927</v>
      </c>
      <c r="C38" s="542" t="s">
        <v>949</v>
      </c>
      <c r="D38" s="542"/>
      <c r="E38" s="567"/>
      <c r="F38" s="542" t="s">
        <v>950</v>
      </c>
      <c r="G38" s="548">
        <v>3.42</v>
      </c>
      <c r="H38" s="548"/>
      <c r="I38" s="548"/>
      <c r="J38" s="548"/>
      <c r="K38" s="548">
        <f>3.42/1.06</f>
        <v>3.2264150943396226</v>
      </c>
      <c r="L38" s="548"/>
      <c r="M38" s="548"/>
      <c r="N38" s="549"/>
      <c r="O38" s="548"/>
      <c r="P38" s="548">
        <f>K38</f>
        <v>3.2264150943396226</v>
      </c>
      <c r="Q38" s="548">
        <v>0</v>
      </c>
      <c r="R38" s="549"/>
      <c r="S38" s="548"/>
      <c r="T38" s="549"/>
      <c r="U38" s="549"/>
      <c r="V38" s="549"/>
      <c r="W38" s="548">
        <f>K38</f>
        <v>3.2264150943396226</v>
      </c>
      <c r="X38" s="568"/>
      <c r="Y38" s="551"/>
      <c r="Z38" s="551"/>
      <c r="AA38" s="551"/>
      <c r="AB38" s="551"/>
      <c r="AC38" s="551"/>
      <c r="AD38" s="551"/>
      <c r="AE38" s="552"/>
      <c r="AF38" s="552"/>
      <c r="AG38" s="552"/>
      <c r="AH38" s="552"/>
      <c r="AI38" s="553"/>
      <c r="AJ38" s="569"/>
      <c r="AK38" s="569"/>
      <c r="AL38" s="569"/>
      <c r="AM38" s="553"/>
      <c r="AN38" s="553"/>
      <c r="AO38" s="553"/>
      <c r="AP38" s="553"/>
      <c r="AQ38" s="553"/>
      <c r="AR38" s="553"/>
      <c r="AS38" s="569"/>
      <c r="AT38" s="569"/>
      <c r="AU38" s="569"/>
      <c r="AV38" s="553"/>
      <c r="AW38" s="553"/>
      <c r="AX38" s="553"/>
      <c r="AY38" s="553"/>
      <c r="AZ38" s="553"/>
      <c r="BA38" s="553"/>
      <c r="BB38" s="569"/>
      <c r="BC38" s="569"/>
      <c r="BD38" s="569"/>
      <c r="BE38" s="553"/>
      <c r="BF38" s="553"/>
      <c r="BG38" s="553"/>
      <c r="BH38" s="553"/>
      <c r="BI38" s="553"/>
      <c r="BJ38" s="553"/>
      <c r="BK38" s="569"/>
      <c r="BL38" s="569"/>
      <c r="BM38" s="569"/>
      <c r="BN38" s="553"/>
      <c r="BO38" s="553"/>
      <c r="BP38" s="553"/>
      <c r="BQ38" s="553"/>
      <c r="BR38" s="553"/>
      <c r="BS38" s="553"/>
      <c r="BT38" s="569"/>
      <c r="BU38" s="569"/>
      <c r="BV38" s="569"/>
      <c r="BW38" s="553"/>
      <c r="BX38" s="553"/>
      <c r="BY38" s="553"/>
      <c r="BZ38" s="553"/>
      <c r="CA38" s="553"/>
      <c r="CB38" s="569"/>
      <c r="CC38" s="569"/>
      <c r="CD38" s="569"/>
      <c r="CE38" s="569"/>
      <c r="CF38" s="569"/>
      <c r="CG38" s="553"/>
      <c r="CH38" s="553"/>
      <c r="CI38" s="553"/>
      <c r="CJ38" s="553"/>
      <c r="CK38" s="569"/>
      <c r="CL38" s="569"/>
      <c r="CM38" s="569"/>
      <c r="CN38" s="569"/>
      <c r="CO38" s="569"/>
      <c r="CP38" s="569"/>
      <c r="CQ38" s="569"/>
      <c r="CR38" s="569"/>
      <c r="CS38" s="553"/>
      <c r="CT38" s="569"/>
      <c r="CU38" s="569"/>
      <c r="CV38" s="569"/>
      <c r="CW38" s="569"/>
      <c r="CX38" s="569"/>
      <c r="CY38" s="569"/>
      <c r="CZ38" s="569"/>
      <c r="DA38" s="569"/>
      <c r="DB38" s="553"/>
      <c r="DC38" s="553"/>
      <c r="DD38" s="569"/>
      <c r="DE38" s="569"/>
      <c r="DF38" s="570"/>
      <c r="DG38" s="553"/>
      <c r="DH38" s="553"/>
      <c r="DI38" s="553"/>
      <c r="DJ38" s="553"/>
      <c r="DK38" s="553"/>
      <c r="DL38" s="556"/>
      <c r="DM38" s="570"/>
      <c r="DN38" s="570"/>
      <c r="DO38" s="570"/>
      <c r="DP38" s="553"/>
      <c r="DQ38" s="553"/>
      <c r="DR38" s="553"/>
      <c r="DS38" s="553"/>
      <c r="DT38" s="553"/>
      <c r="DU38" s="553"/>
      <c r="DV38" s="553"/>
      <c r="DW38" s="569"/>
      <c r="DX38" s="570"/>
      <c r="DY38" s="553"/>
      <c r="DZ38" s="553"/>
      <c r="EA38" s="553"/>
      <c r="EB38" s="553"/>
      <c r="EC38" s="553"/>
      <c r="ED38" s="553"/>
      <c r="EE38" s="553"/>
      <c r="EF38" s="569"/>
      <c r="EG38" s="569"/>
      <c r="EH38" s="553"/>
      <c r="EI38" s="553"/>
      <c r="EJ38" s="553"/>
      <c r="EK38" s="553"/>
      <c r="EL38" s="553"/>
    </row>
    <row r="39" spans="1:142" s="44" customFormat="1" ht="50.25" hidden="1" customHeight="1">
      <c r="A39" s="566">
        <v>1</v>
      </c>
      <c r="B39" s="807"/>
      <c r="C39" s="542" t="s">
        <v>951</v>
      </c>
      <c r="D39" s="542"/>
      <c r="E39" s="567"/>
      <c r="F39" s="557" t="s">
        <v>950</v>
      </c>
      <c r="G39" s="548">
        <v>49.78</v>
      </c>
      <c r="H39" s="548"/>
      <c r="I39" s="548"/>
      <c r="J39" s="548"/>
      <c r="K39" s="548">
        <f>49.78/1.06</f>
        <v>46.962264150943398</v>
      </c>
      <c r="L39" s="548"/>
      <c r="M39" s="548"/>
      <c r="N39" s="549"/>
      <c r="O39" s="548"/>
      <c r="P39" s="548">
        <f>K39</f>
        <v>46.962264150943398</v>
      </c>
      <c r="Q39" s="548">
        <v>0</v>
      </c>
      <c r="R39" s="549"/>
      <c r="S39" s="548"/>
      <c r="T39" s="549"/>
      <c r="U39" s="549"/>
      <c r="V39" s="549"/>
      <c r="W39" s="548">
        <f>K39*0.3</f>
        <v>14.08867924528302</v>
      </c>
      <c r="X39" s="568"/>
      <c r="Y39" s="551"/>
      <c r="Z39" s="551"/>
      <c r="AA39" s="551"/>
      <c r="AB39" s="551"/>
      <c r="AC39" s="551"/>
      <c r="AD39" s="551"/>
      <c r="AE39" s="552"/>
      <c r="AF39" s="552"/>
      <c r="AG39" s="552"/>
      <c r="AH39" s="552"/>
      <c r="AI39" s="553"/>
      <c r="AJ39" s="553"/>
      <c r="AK39" s="553"/>
      <c r="AL39" s="553"/>
      <c r="AM39" s="553"/>
      <c r="AN39" s="553"/>
      <c r="AO39" s="553"/>
      <c r="AP39" s="553"/>
      <c r="AQ39" s="553"/>
      <c r="AR39" s="553"/>
      <c r="AS39" s="553"/>
      <c r="AT39" s="553"/>
      <c r="AU39" s="553"/>
      <c r="AV39" s="553"/>
      <c r="AW39" s="553"/>
      <c r="AX39" s="553"/>
      <c r="AY39" s="553"/>
      <c r="AZ39" s="553"/>
      <c r="BA39" s="553"/>
      <c r="BB39" s="553"/>
      <c r="BC39" s="553"/>
      <c r="BD39" s="553"/>
      <c r="BE39" s="553"/>
      <c r="BF39" s="553"/>
      <c r="BG39" s="553"/>
      <c r="BH39" s="553"/>
      <c r="BI39" s="553"/>
      <c r="BJ39" s="553"/>
      <c r="BK39" s="553"/>
      <c r="BL39" s="553"/>
      <c r="BM39" s="553"/>
      <c r="BN39" s="553"/>
      <c r="BO39" s="553"/>
      <c r="BP39" s="553"/>
      <c r="BQ39" s="553"/>
      <c r="BR39" s="553"/>
      <c r="BS39" s="553"/>
      <c r="BT39" s="569"/>
      <c r="BU39" s="569"/>
      <c r="BV39" s="569"/>
      <c r="BW39" s="553"/>
      <c r="BX39" s="553"/>
      <c r="BY39" s="553"/>
      <c r="BZ39" s="553"/>
      <c r="CA39" s="553"/>
      <c r="CB39" s="569"/>
      <c r="CC39" s="569"/>
      <c r="CD39" s="569"/>
      <c r="CE39" s="569"/>
      <c r="CF39" s="569"/>
      <c r="CG39" s="553"/>
      <c r="CH39" s="553"/>
      <c r="CI39" s="553"/>
      <c r="CJ39" s="553"/>
      <c r="CK39" s="569"/>
      <c r="CL39" s="569"/>
      <c r="CM39" s="569"/>
      <c r="CN39" s="569"/>
      <c r="CO39" s="569"/>
      <c r="CP39" s="569"/>
      <c r="CQ39" s="569"/>
      <c r="CR39" s="569"/>
      <c r="CS39" s="553"/>
      <c r="CT39" s="569"/>
      <c r="CU39" s="569"/>
      <c r="CV39" s="569"/>
      <c r="CW39" s="569"/>
      <c r="CX39" s="569"/>
      <c r="CY39" s="569"/>
      <c r="CZ39" s="569"/>
      <c r="DA39" s="569"/>
      <c r="DB39" s="553"/>
      <c r="DC39" s="553"/>
      <c r="DD39" s="569"/>
      <c r="DE39" s="569"/>
      <c r="DF39" s="570"/>
      <c r="DG39" s="553"/>
      <c r="DH39" s="553"/>
      <c r="DI39" s="553"/>
      <c r="DJ39" s="553"/>
      <c r="DK39" s="553"/>
      <c r="DL39" s="556"/>
      <c r="DM39" s="570"/>
      <c r="DN39" s="570"/>
      <c r="DO39" s="570"/>
      <c r="DP39" s="553"/>
      <c r="DQ39" s="553"/>
      <c r="DR39" s="553"/>
      <c r="DS39" s="553"/>
      <c r="DT39" s="553"/>
      <c r="DU39" s="553"/>
      <c r="DV39" s="553"/>
      <c r="DW39" s="569"/>
      <c r="DX39" s="570"/>
      <c r="DY39" s="553"/>
      <c r="DZ39" s="553"/>
      <c r="EA39" s="553"/>
      <c r="EB39" s="553"/>
      <c r="EC39" s="553"/>
      <c r="ED39" s="553"/>
      <c r="EE39" s="553"/>
      <c r="EF39" s="569"/>
      <c r="EG39" s="569"/>
      <c r="EH39" s="553"/>
      <c r="EI39" s="553"/>
      <c r="EJ39" s="553"/>
      <c r="EK39" s="553"/>
      <c r="EL39" s="553"/>
    </row>
    <row r="40" spans="1:142" s="44" customFormat="1" ht="50.25" customHeight="1">
      <c r="A40" s="566">
        <v>2</v>
      </c>
      <c r="B40" s="807"/>
      <c r="C40" s="542" t="s">
        <v>952</v>
      </c>
      <c r="D40" s="542"/>
      <c r="E40" s="567"/>
      <c r="F40" s="557" t="s">
        <v>950</v>
      </c>
      <c r="G40" s="548">
        <v>437.8</v>
      </c>
      <c r="H40" s="548"/>
      <c r="I40" s="548"/>
      <c r="J40" s="548"/>
      <c r="K40" s="548">
        <v>159</v>
      </c>
      <c r="L40" s="548"/>
      <c r="M40" s="548"/>
      <c r="N40" s="549"/>
      <c r="O40" s="548"/>
      <c r="P40" s="548">
        <v>159</v>
      </c>
      <c r="Q40" s="548">
        <v>6.4</v>
      </c>
      <c r="R40" s="549"/>
      <c r="S40" s="548"/>
      <c r="T40" s="549"/>
      <c r="U40" s="549"/>
      <c r="V40" s="549">
        <f>Q40</f>
        <v>6.4</v>
      </c>
      <c r="W40" s="548">
        <f>K40-Q40</f>
        <v>152.6</v>
      </c>
      <c r="X40" s="568"/>
      <c r="Y40" s="551"/>
      <c r="Z40" s="551"/>
      <c r="AA40" s="551"/>
      <c r="AB40" s="551"/>
      <c r="AC40" s="551"/>
      <c r="AD40" s="551"/>
      <c r="AE40" s="552"/>
      <c r="AF40" s="552"/>
      <c r="AG40" s="552"/>
      <c r="AH40" s="552"/>
      <c r="AI40" s="553"/>
      <c r="AJ40" s="553"/>
      <c r="AK40" s="553"/>
      <c r="AL40" s="553"/>
      <c r="AM40" s="553"/>
      <c r="AN40" s="553"/>
      <c r="AO40" s="553"/>
      <c r="AP40" s="553"/>
      <c r="AQ40" s="553"/>
      <c r="AR40" s="553"/>
      <c r="AS40" s="553"/>
      <c r="AT40" s="553"/>
      <c r="AU40" s="553"/>
      <c r="AV40" s="553"/>
      <c r="AW40" s="553"/>
      <c r="AX40" s="553"/>
      <c r="AY40" s="553"/>
      <c r="AZ40" s="553"/>
      <c r="BA40" s="553"/>
      <c r="BB40" s="553"/>
      <c r="BC40" s="553"/>
      <c r="BD40" s="553"/>
      <c r="BE40" s="553"/>
      <c r="BF40" s="553"/>
      <c r="BG40" s="553"/>
      <c r="BH40" s="553"/>
      <c r="BI40" s="553"/>
      <c r="BJ40" s="553"/>
      <c r="BK40" s="553"/>
      <c r="BL40" s="553"/>
      <c r="BM40" s="553"/>
      <c r="BN40" s="553"/>
      <c r="BO40" s="553"/>
      <c r="BP40" s="553"/>
      <c r="BQ40" s="553"/>
      <c r="BR40" s="553"/>
      <c r="BS40" s="553"/>
      <c r="BT40" s="569"/>
      <c r="BU40" s="569"/>
      <c r="BV40" s="569"/>
      <c r="BW40" s="553"/>
      <c r="BX40" s="553"/>
      <c r="BY40" s="553"/>
      <c r="BZ40" s="553"/>
      <c r="CA40" s="553"/>
      <c r="CB40" s="569"/>
      <c r="CC40" s="569"/>
      <c r="CD40" s="569"/>
      <c r="CE40" s="569"/>
      <c r="CF40" s="569"/>
      <c r="CG40" s="553"/>
      <c r="CH40" s="553"/>
      <c r="CI40" s="553"/>
      <c r="CJ40" s="553"/>
      <c r="CK40" s="569"/>
      <c r="CL40" s="569"/>
      <c r="CM40" s="569"/>
      <c r="CN40" s="569"/>
      <c r="CO40" s="569"/>
      <c r="CP40" s="569"/>
      <c r="CQ40" s="569"/>
      <c r="CR40" s="569"/>
      <c r="CS40" s="553"/>
      <c r="CT40" s="569"/>
      <c r="CU40" s="569"/>
      <c r="CV40" s="569"/>
      <c r="CW40" s="569"/>
      <c r="CX40" s="569"/>
      <c r="CY40" s="569"/>
      <c r="CZ40" s="569"/>
      <c r="DA40" s="569"/>
      <c r="DB40" s="553"/>
      <c r="DC40" s="553"/>
      <c r="DD40" s="569"/>
      <c r="DE40" s="569"/>
      <c r="DF40" s="570"/>
      <c r="DG40" s="553"/>
      <c r="DH40" s="553"/>
      <c r="DI40" s="553"/>
      <c r="DJ40" s="553"/>
      <c r="DK40" s="553"/>
      <c r="DL40" s="556"/>
      <c r="DM40" s="570"/>
      <c r="DN40" s="570"/>
      <c r="DO40" s="570"/>
      <c r="DP40" s="553"/>
      <c r="DQ40" s="553"/>
      <c r="DR40" s="553"/>
      <c r="DS40" s="553"/>
      <c r="DT40" s="553"/>
      <c r="DU40" s="553"/>
      <c r="DV40" s="553"/>
      <c r="DW40" s="569"/>
      <c r="DX40" s="570"/>
      <c r="DY40" s="553"/>
      <c r="DZ40" s="553"/>
      <c r="EA40" s="553"/>
      <c r="EB40" s="553"/>
      <c r="EC40" s="553"/>
      <c r="ED40" s="553"/>
      <c r="EE40" s="553"/>
      <c r="EF40" s="569"/>
      <c r="EG40" s="569"/>
      <c r="EH40" s="553"/>
      <c r="EI40" s="553"/>
      <c r="EJ40" s="553"/>
      <c r="EK40" s="553"/>
      <c r="EL40" s="553"/>
    </row>
    <row r="41" spans="1:142" s="44" customFormat="1" ht="50.25" customHeight="1">
      <c r="A41" s="557">
        <v>3</v>
      </c>
      <c r="B41" s="858"/>
      <c r="C41" s="557" t="s">
        <v>953</v>
      </c>
      <c r="D41" s="557" t="s">
        <v>954</v>
      </c>
      <c r="E41" s="565"/>
      <c r="F41" s="557" t="s">
        <v>950</v>
      </c>
      <c r="G41" s="549">
        <v>40</v>
      </c>
      <c r="H41" s="549"/>
      <c r="I41" s="549"/>
      <c r="J41" s="549"/>
      <c r="K41" s="549">
        <f>40/1.06</f>
        <v>37.735849056603769</v>
      </c>
      <c r="L41" s="549"/>
      <c r="M41" s="549"/>
      <c r="N41" s="549"/>
      <c r="O41" s="549"/>
      <c r="P41" s="549">
        <f>K41</f>
        <v>37.735849056603769</v>
      </c>
      <c r="Q41" s="549">
        <f>K41-W41</f>
        <v>26.415094339622641</v>
      </c>
      <c r="R41" s="549"/>
      <c r="S41" s="549"/>
      <c r="T41" s="549"/>
      <c r="U41" s="549"/>
      <c r="V41" s="549">
        <f>Q41</f>
        <v>26.415094339622641</v>
      </c>
      <c r="W41" s="549">
        <f>K41*0.3</f>
        <v>11.32075471698113</v>
      </c>
      <c r="X41" s="571"/>
      <c r="Y41" s="561"/>
      <c r="Z41" s="561"/>
      <c r="AA41" s="561"/>
      <c r="AB41" s="561"/>
      <c r="AC41" s="561"/>
      <c r="AD41" s="561"/>
      <c r="AE41" s="572"/>
      <c r="AF41" s="572"/>
      <c r="AG41" s="572"/>
      <c r="AH41" s="572"/>
      <c r="AI41" s="562"/>
      <c r="AJ41" s="562"/>
      <c r="AK41" s="562"/>
      <c r="AL41" s="562"/>
      <c r="AM41" s="562"/>
      <c r="AN41" s="562"/>
      <c r="AO41" s="562"/>
      <c r="AP41" s="562"/>
      <c r="AQ41" s="562"/>
      <c r="AR41" s="562"/>
      <c r="AS41" s="562"/>
      <c r="AT41" s="562"/>
      <c r="AU41" s="562"/>
      <c r="AV41" s="562"/>
      <c r="AW41" s="562"/>
      <c r="AX41" s="562"/>
      <c r="AY41" s="562"/>
      <c r="AZ41" s="562"/>
      <c r="BA41" s="562"/>
      <c r="BB41" s="562"/>
      <c r="BC41" s="562"/>
      <c r="BD41" s="562"/>
      <c r="BE41" s="562"/>
      <c r="BF41" s="562"/>
      <c r="BG41" s="562"/>
      <c r="BH41" s="562"/>
      <c r="BI41" s="562"/>
      <c r="BJ41" s="562"/>
      <c r="BK41" s="562"/>
      <c r="BL41" s="562"/>
      <c r="BM41" s="562"/>
      <c r="BN41" s="562"/>
      <c r="BO41" s="562"/>
      <c r="BP41" s="562"/>
      <c r="BQ41" s="562"/>
      <c r="BR41" s="562"/>
      <c r="BS41" s="562"/>
      <c r="BT41" s="573"/>
      <c r="BU41" s="573"/>
      <c r="BV41" s="573"/>
      <c r="BW41" s="562"/>
      <c r="BX41" s="562"/>
      <c r="BY41" s="562"/>
      <c r="BZ41" s="562"/>
      <c r="CA41" s="562"/>
      <c r="CB41" s="573"/>
      <c r="CC41" s="573"/>
      <c r="CD41" s="573"/>
      <c r="CE41" s="573"/>
      <c r="CF41" s="573"/>
      <c r="CG41" s="562"/>
      <c r="CH41" s="562"/>
      <c r="CI41" s="562"/>
      <c r="CJ41" s="562"/>
      <c r="CK41" s="573"/>
      <c r="CL41" s="573"/>
      <c r="CM41" s="573"/>
      <c r="CN41" s="573"/>
      <c r="CO41" s="573"/>
      <c r="CP41" s="573"/>
      <c r="CQ41" s="573"/>
      <c r="CR41" s="573"/>
      <c r="CS41" s="562"/>
      <c r="CT41" s="573"/>
      <c r="CU41" s="573"/>
      <c r="CV41" s="573"/>
      <c r="CW41" s="573"/>
      <c r="CX41" s="573"/>
      <c r="CY41" s="573"/>
      <c r="CZ41" s="573"/>
      <c r="DA41" s="573"/>
      <c r="DB41" s="562"/>
      <c r="DC41" s="562"/>
      <c r="DD41" s="573"/>
      <c r="DE41" s="573"/>
      <c r="DF41" s="574"/>
      <c r="DG41" s="562"/>
      <c r="DH41" s="562"/>
      <c r="DI41" s="562"/>
      <c r="DJ41" s="562"/>
      <c r="DK41" s="562"/>
      <c r="DL41" s="563"/>
      <c r="DM41" s="574"/>
      <c r="DN41" s="574"/>
      <c r="DO41" s="574"/>
      <c r="DP41" s="562"/>
      <c r="DQ41" s="562"/>
      <c r="DR41" s="562"/>
      <c r="DS41" s="562"/>
      <c r="DT41" s="562"/>
      <c r="DU41" s="562"/>
      <c r="DV41" s="562"/>
      <c r="DW41" s="573"/>
      <c r="DX41" s="574"/>
      <c r="DY41" s="562"/>
      <c r="DZ41" s="562"/>
      <c r="EA41" s="562"/>
      <c r="EB41" s="562"/>
      <c r="EC41" s="562"/>
      <c r="ED41" s="562"/>
      <c r="EE41" s="562"/>
      <c r="EF41" s="573"/>
      <c r="EG41" s="573"/>
      <c r="EH41" s="562"/>
      <c r="EI41" s="562"/>
      <c r="EJ41" s="562"/>
      <c r="EK41" s="562"/>
      <c r="EL41" s="562"/>
    </row>
    <row r="42" spans="1:142" s="44" customFormat="1" ht="50.25" customHeight="1">
      <c r="A42" s="557">
        <v>4</v>
      </c>
      <c r="B42" s="858"/>
      <c r="C42" s="557" t="s">
        <v>955</v>
      </c>
      <c r="D42" s="557"/>
      <c r="E42" s="565"/>
      <c r="F42" s="557" t="s">
        <v>950</v>
      </c>
      <c r="G42" s="549">
        <v>143.97</v>
      </c>
      <c r="H42" s="549"/>
      <c r="I42" s="549"/>
      <c r="J42" s="549"/>
      <c r="K42" s="549">
        <f>G42/1.06</f>
        <v>135.82075471698113</v>
      </c>
      <c r="L42" s="549"/>
      <c r="M42" s="549"/>
      <c r="N42" s="549"/>
      <c r="O42" s="549"/>
      <c r="P42" s="549">
        <f>K42</f>
        <v>135.82075471698113</v>
      </c>
      <c r="Q42" s="549">
        <f>K42*0.7</f>
        <v>95.074528301886787</v>
      </c>
      <c r="R42" s="549"/>
      <c r="S42" s="549"/>
      <c r="T42" s="549"/>
      <c r="U42" s="549"/>
      <c r="V42" s="549">
        <f>Q42</f>
        <v>95.074528301886787</v>
      </c>
      <c r="W42" s="549">
        <f>K42-Q42</f>
        <v>40.746226415094341</v>
      </c>
      <c r="X42" s="571"/>
      <c r="Y42" s="561"/>
      <c r="Z42" s="561"/>
      <c r="AA42" s="561"/>
      <c r="AB42" s="561"/>
      <c r="AC42" s="561"/>
      <c r="AD42" s="561"/>
      <c r="AE42" s="572"/>
      <c r="AF42" s="572"/>
      <c r="AG42" s="572"/>
      <c r="AH42" s="572"/>
      <c r="AI42" s="562"/>
      <c r="AJ42" s="562"/>
      <c r="AK42" s="562"/>
      <c r="AL42" s="562"/>
      <c r="AM42" s="562"/>
      <c r="AN42" s="562"/>
      <c r="AO42" s="562"/>
      <c r="AP42" s="562"/>
      <c r="AQ42" s="562"/>
      <c r="AR42" s="562"/>
      <c r="AS42" s="562"/>
      <c r="AT42" s="562"/>
      <c r="AU42" s="562"/>
      <c r="AV42" s="562"/>
      <c r="AW42" s="562"/>
      <c r="AX42" s="562"/>
      <c r="AY42" s="562"/>
      <c r="AZ42" s="562"/>
      <c r="BA42" s="562"/>
      <c r="BB42" s="562"/>
      <c r="BC42" s="562"/>
      <c r="BD42" s="562"/>
      <c r="BE42" s="562"/>
      <c r="BF42" s="562"/>
      <c r="BG42" s="562"/>
      <c r="BH42" s="562"/>
      <c r="BI42" s="562"/>
      <c r="BJ42" s="562"/>
      <c r="BK42" s="562"/>
      <c r="BL42" s="562"/>
      <c r="BM42" s="562"/>
      <c r="BN42" s="562"/>
      <c r="BO42" s="562"/>
      <c r="BP42" s="562"/>
      <c r="BQ42" s="562"/>
      <c r="BR42" s="562"/>
      <c r="BS42" s="562"/>
      <c r="BT42" s="573"/>
      <c r="BU42" s="573"/>
      <c r="BV42" s="573"/>
      <c r="BW42" s="562"/>
      <c r="BX42" s="562"/>
      <c r="BY42" s="562"/>
      <c r="BZ42" s="562"/>
      <c r="CA42" s="562"/>
      <c r="CB42" s="573"/>
      <c r="CC42" s="573"/>
      <c r="CD42" s="573"/>
      <c r="CE42" s="573"/>
      <c r="CF42" s="573"/>
      <c r="CG42" s="562"/>
      <c r="CH42" s="562"/>
      <c r="CI42" s="562"/>
      <c r="CJ42" s="562"/>
      <c r="CK42" s="573"/>
      <c r="CL42" s="573"/>
      <c r="CM42" s="573"/>
      <c r="CN42" s="573"/>
      <c r="CO42" s="573"/>
      <c r="CP42" s="573"/>
      <c r="CQ42" s="573"/>
      <c r="CR42" s="573"/>
      <c r="CS42" s="562"/>
      <c r="CT42" s="573"/>
      <c r="CU42" s="573"/>
      <c r="CV42" s="573"/>
      <c r="CW42" s="573"/>
      <c r="CX42" s="573"/>
      <c r="CY42" s="573"/>
      <c r="CZ42" s="573"/>
      <c r="DA42" s="573"/>
      <c r="DB42" s="562"/>
      <c r="DC42" s="562"/>
      <c r="DD42" s="573"/>
      <c r="DE42" s="573"/>
      <c r="DF42" s="574"/>
      <c r="DG42" s="562"/>
      <c r="DH42" s="562"/>
      <c r="DI42" s="562"/>
      <c r="DJ42" s="562"/>
      <c r="DK42" s="562"/>
      <c r="DL42" s="563"/>
      <c r="DM42" s="574"/>
      <c r="DN42" s="574"/>
      <c r="DO42" s="574"/>
      <c r="DP42" s="562"/>
      <c r="DQ42" s="562"/>
      <c r="DR42" s="562"/>
      <c r="DS42" s="562"/>
      <c r="DT42" s="562"/>
      <c r="DU42" s="562"/>
      <c r="DV42" s="562"/>
      <c r="DW42" s="573"/>
      <c r="DX42" s="574"/>
      <c r="DY42" s="562"/>
      <c r="DZ42" s="562"/>
      <c r="EA42" s="562"/>
      <c r="EB42" s="562"/>
      <c r="EC42" s="562"/>
      <c r="ED42" s="562"/>
      <c r="EE42" s="562"/>
      <c r="EF42" s="573"/>
      <c r="EG42" s="573"/>
      <c r="EH42" s="562"/>
      <c r="EI42" s="562"/>
      <c r="EJ42" s="562"/>
      <c r="EK42" s="562"/>
      <c r="EL42" s="562"/>
    </row>
    <row r="43" spans="1:142" s="44" customFormat="1" ht="50.25" customHeight="1">
      <c r="A43" s="557">
        <v>5</v>
      </c>
      <c r="B43" s="807"/>
      <c r="C43" s="557" t="s">
        <v>956</v>
      </c>
      <c r="D43" s="557"/>
      <c r="E43" s="565"/>
      <c r="F43" s="557" t="s">
        <v>950</v>
      </c>
      <c r="G43" s="549">
        <v>105.39</v>
      </c>
      <c r="H43" s="549"/>
      <c r="I43" s="549"/>
      <c r="J43" s="549"/>
      <c r="K43" s="549">
        <f>G43/1.06</f>
        <v>99.424528301886781</v>
      </c>
      <c r="L43" s="549"/>
      <c r="M43" s="549"/>
      <c r="N43" s="549"/>
      <c r="O43" s="549"/>
      <c r="P43" s="549">
        <f>K43</f>
        <v>99.424528301886781</v>
      </c>
      <c r="Q43" s="549">
        <f>K43*0.7</f>
        <v>69.59716981132074</v>
      </c>
      <c r="R43" s="549"/>
      <c r="S43" s="549"/>
      <c r="T43" s="549"/>
      <c r="U43" s="549"/>
      <c r="V43" s="549">
        <f>Q43</f>
        <v>69.59716981132074</v>
      </c>
      <c r="W43" s="549">
        <f>K43-Q43</f>
        <v>29.827358490566041</v>
      </c>
      <c r="X43" s="571"/>
      <c r="Y43" s="561"/>
      <c r="Z43" s="561"/>
      <c r="AA43" s="561"/>
      <c r="AB43" s="561"/>
      <c r="AC43" s="561"/>
      <c r="AD43" s="561"/>
      <c r="AE43" s="572"/>
      <c r="AF43" s="572"/>
      <c r="AG43" s="572"/>
      <c r="AH43" s="572"/>
      <c r="AI43" s="562"/>
      <c r="AJ43" s="562"/>
      <c r="AK43" s="562"/>
      <c r="AL43" s="562"/>
      <c r="AM43" s="562"/>
      <c r="AN43" s="562"/>
      <c r="AO43" s="562"/>
      <c r="AP43" s="562"/>
      <c r="AQ43" s="562"/>
      <c r="AR43" s="562"/>
      <c r="AS43" s="562"/>
      <c r="AT43" s="562"/>
      <c r="AU43" s="562"/>
      <c r="AV43" s="562"/>
      <c r="AW43" s="562"/>
      <c r="AX43" s="562"/>
      <c r="AY43" s="562"/>
      <c r="AZ43" s="562"/>
      <c r="BA43" s="562"/>
      <c r="BB43" s="562"/>
      <c r="BC43" s="562"/>
      <c r="BD43" s="562"/>
      <c r="BE43" s="562"/>
      <c r="BF43" s="562"/>
      <c r="BG43" s="562"/>
      <c r="BH43" s="562"/>
      <c r="BI43" s="562"/>
      <c r="BJ43" s="562"/>
      <c r="BK43" s="562"/>
      <c r="BL43" s="562"/>
      <c r="BM43" s="562"/>
      <c r="BN43" s="562"/>
      <c r="BO43" s="562"/>
      <c r="BP43" s="562"/>
      <c r="BQ43" s="562"/>
      <c r="BR43" s="562"/>
      <c r="BS43" s="562"/>
      <c r="BT43" s="573"/>
      <c r="BU43" s="573"/>
      <c r="BV43" s="573"/>
      <c r="BW43" s="562"/>
      <c r="BX43" s="562"/>
      <c r="BY43" s="562"/>
      <c r="BZ43" s="562"/>
      <c r="CA43" s="562"/>
      <c r="CB43" s="573"/>
      <c r="CC43" s="573"/>
      <c r="CD43" s="573"/>
      <c r="CE43" s="573"/>
      <c r="CF43" s="573"/>
      <c r="CG43" s="562"/>
      <c r="CH43" s="562"/>
      <c r="CI43" s="562"/>
      <c r="CJ43" s="562"/>
      <c r="CK43" s="573"/>
      <c r="CL43" s="573"/>
      <c r="CM43" s="573"/>
      <c r="CN43" s="573"/>
      <c r="CO43" s="573"/>
      <c r="CP43" s="573"/>
      <c r="CQ43" s="573"/>
      <c r="CR43" s="573"/>
      <c r="CS43" s="562"/>
      <c r="CT43" s="573"/>
      <c r="CU43" s="573"/>
      <c r="CV43" s="573"/>
      <c r="CW43" s="573"/>
      <c r="CX43" s="573"/>
      <c r="CY43" s="573"/>
      <c r="CZ43" s="573"/>
      <c r="DA43" s="573"/>
      <c r="DB43" s="562"/>
      <c r="DC43" s="562"/>
      <c r="DD43" s="573"/>
      <c r="DE43" s="573"/>
      <c r="DF43" s="574"/>
      <c r="DG43" s="562"/>
      <c r="DH43" s="562"/>
      <c r="DI43" s="562"/>
      <c r="DJ43" s="562"/>
      <c r="DK43" s="562"/>
      <c r="DL43" s="563"/>
      <c r="DM43" s="574"/>
      <c r="DN43" s="574"/>
      <c r="DO43" s="574"/>
      <c r="DP43" s="562"/>
      <c r="DQ43" s="562"/>
      <c r="DR43" s="562"/>
      <c r="DS43" s="562"/>
      <c r="DT43" s="562"/>
      <c r="DU43" s="562"/>
      <c r="DV43" s="562"/>
      <c r="DW43" s="573"/>
      <c r="DX43" s="574"/>
      <c r="DY43" s="562"/>
      <c r="DZ43" s="562"/>
      <c r="EA43" s="562"/>
      <c r="EB43" s="562"/>
      <c r="EC43" s="562"/>
      <c r="ED43" s="562"/>
      <c r="EE43" s="562"/>
      <c r="EF43" s="573"/>
      <c r="EG43" s="573"/>
      <c r="EH43" s="562"/>
      <c r="EI43" s="562"/>
      <c r="EJ43" s="562"/>
      <c r="EK43" s="562"/>
      <c r="EL43" s="562"/>
    </row>
    <row r="44" spans="1:142" s="44" customFormat="1" ht="50.25" customHeight="1">
      <c r="A44" s="557">
        <v>6</v>
      </c>
      <c r="B44" s="557"/>
      <c r="C44" s="557" t="s">
        <v>957</v>
      </c>
      <c r="D44" s="557"/>
      <c r="E44" s="565"/>
      <c r="F44" s="557" t="s">
        <v>950</v>
      </c>
      <c r="G44" s="549">
        <v>45</v>
      </c>
      <c r="H44" s="549"/>
      <c r="I44" s="549"/>
      <c r="J44" s="549"/>
      <c r="K44" s="549">
        <v>3</v>
      </c>
      <c r="L44" s="549"/>
      <c r="M44" s="549"/>
      <c r="N44" s="549"/>
      <c r="O44" s="549"/>
      <c r="P44" s="549">
        <v>3</v>
      </c>
      <c r="Q44" s="549">
        <v>1</v>
      </c>
      <c r="R44" s="549"/>
      <c r="S44" s="549"/>
      <c r="T44" s="549"/>
      <c r="U44" s="549"/>
      <c r="V44" s="549">
        <v>1</v>
      </c>
      <c r="W44" s="549">
        <f>K44-Q44</f>
        <v>2</v>
      </c>
      <c r="X44" s="571"/>
      <c r="Y44" s="561"/>
      <c r="Z44" s="561"/>
      <c r="AA44" s="561"/>
      <c r="AB44" s="561"/>
      <c r="AC44" s="561"/>
      <c r="AD44" s="561"/>
      <c r="AE44" s="572"/>
      <c r="AF44" s="572"/>
      <c r="AG44" s="572"/>
      <c r="AH44" s="572"/>
      <c r="AI44" s="562"/>
      <c r="AJ44" s="562"/>
      <c r="AK44" s="562"/>
      <c r="AL44" s="562"/>
      <c r="AM44" s="562"/>
      <c r="AN44" s="562"/>
      <c r="AO44" s="562"/>
      <c r="AP44" s="562"/>
      <c r="AQ44" s="562"/>
      <c r="AR44" s="562"/>
      <c r="AS44" s="562"/>
      <c r="AT44" s="562"/>
      <c r="AU44" s="562"/>
      <c r="AV44" s="562"/>
      <c r="AW44" s="562"/>
      <c r="AX44" s="562"/>
      <c r="AY44" s="562"/>
      <c r="AZ44" s="562"/>
      <c r="BA44" s="562"/>
      <c r="BB44" s="562"/>
      <c r="BC44" s="562"/>
      <c r="BD44" s="562"/>
      <c r="BE44" s="562"/>
      <c r="BF44" s="562"/>
      <c r="BG44" s="562"/>
      <c r="BH44" s="562"/>
      <c r="BI44" s="562"/>
      <c r="BJ44" s="562"/>
      <c r="BK44" s="562"/>
      <c r="BL44" s="562"/>
      <c r="BM44" s="562"/>
      <c r="BN44" s="562"/>
      <c r="BO44" s="562"/>
      <c r="BP44" s="562"/>
      <c r="BQ44" s="562"/>
      <c r="BR44" s="562"/>
      <c r="BS44" s="562"/>
      <c r="BT44" s="573"/>
      <c r="BU44" s="573"/>
      <c r="BV44" s="573"/>
      <c r="BW44" s="562"/>
      <c r="BX44" s="562"/>
      <c r="BY44" s="562"/>
      <c r="BZ44" s="562"/>
      <c r="CA44" s="562"/>
      <c r="CB44" s="573"/>
      <c r="CC44" s="573"/>
      <c r="CD44" s="573"/>
      <c r="CE44" s="573"/>
      <c r="CF44" s="573"/>
      <c r="CG44" s="562"/>
      <c r="CH44" s="562"/>
      <c r="CI44" s="562"/>
      <c r="CJ44" s="562"/>
      <c r="CK44" s="573"/>
      <c r="CL44" s="573"/>
      <c r="CM44" s="573"/>
      <c r="CN44" s="573"/>
      <c r="CO44" s="573"/>
      <c r="CP44" s="573"/>
      <c r="CQ44" s="573"/>
      <c r="CR44" s="573"/>
      <c r="CS44" s="562"/>
      <c r="CT44" s="573"/>
      <c r="CU44" s="573"/>
      <c r="CV44" s="573"/>
      <c r="CW44" s="573"/>
      <c r="CX44" s="573"/>
      <c r="CY44" s="573"/>
      <c r="CZ44" s="573"/>
      <c r="DA44" s="573"/>
      <c r="DB44" s="562"/>
      <c r="DC44" s="562"/>
      <c r="DD44" s="573"/>
      <c r="DE44" s="573"/>
      <c r="DF44" s="574"/>
      <c r="DG44" s="562"/>
      <c r="DH44" s="562"/>
      <c r="DI44" s="562"/>
      <c r="DJ44" s="562"/>
      <c r="DK44" s="562"/>
      <c r="DL44" s="563"/>
      <c r="DM44" s="574"/>
      <c r="DN44" s="574"/>
      <c r="DO44" s="574"/>
      <c r="DP44" s="562"/>
      <c r="DQ44" s="562"/>
      <c r="DR44" s="562"/>
      <c r="DS44" s="562"/>
      <c r="DT44" s="562"/>
      <c r="DU44" s="562"/>
      <c r="DV44" s="562"/>
      <c r="DW44" s="573"/>
      <c r="DX44" s="574"/>
      <c r="DY44" s="562"/>
      <c r="DZ44" s="562"/>
      <c r="EA44" s="562"/>
      <c r="EB44" s="562"/>
      <c r="EC44" s="562"/>
      <c r="ED44" s="562"/>
      <c r="EE44" s="562"/>
      <c r="EF44" s="573"/>
      <c r="EG44" s="573"/>
      <c r="EH44" s="562"/>
      <c r="EI44" s="562"/>
      <c r="EJ44" s="562"/>
      <c r="EK44" s="562"/>
      <c r="EL44" s="562"/>
    </row>
    <row r="45" spans="1:142" s="782" customFormat="1" ht="24" customHeight="1">
      <c r="A45" s="843" t="s">
        <v>924</v>
      </c>
      <c r="B45" s="854"/>
      <c r="C45" s="854"/>
      <c r="D45" s="855"/>
      <c r="E45" s="855"/>
      <c r="F45" s="855"/>
      <c r="G45" s="522">
        <f>SUM(G38:G43)</f>
        <v>780.36</v>
      </c>
      <c r="H45" s="522" t="e">
        <f>SUM(#REF!)</f>
        <v>#REF!</v>
      </c>
      <c r="I45" s="522" t="e">
        <f>SUM(#REF!)</f>
        <v>#REF!</v>
      </c>
      <c r="J45" s="522" t="e">
        <f>SUM(#REF!)</f>
        <v>#REF!</v>
      </c>
      <c r="K45" s="522">
        <f t="shared" ref="K45:AP45" si="26">SUM(K38:K43)</f>
        <v>482.16981132075466</v>
      </c>
      <c r="L45" s="522">
        <f t="shared" si="26"/>
        <v>0</v>
      </c>
      <c r="M45" s="522">
        <f t="shared" si="26"/>
        <v>0</v>
      </c>
      <c r="N45" s="523">
        <f t="shared" si="26"/>
        <v>0</v>
      </c>
      <c r="O45" s="522">
        <f t="shared" si="26"/>
        <v>0</v>
      </c>
      <c r="P45" s="522">
        <f t="shared" si="26"/>
        <v>482.16981132075466</v>
      </c>
      <c r="Q45" s="522">
        <f t="shared" si="26"/>
        <v>197.48679245283017</v>
      </c>
      <c r="R45" s="523">
        <f t="shared" si="26"/>
        <v>0</v>
      </c>
      <c r="S45" s="522">
        <f t="shared" si="26"/>
        <v>0</v>
      </c>
      <c r="T45" s="523">
        <f t="shared" si="26"/>
        <v>0</v>
      </c>
      <c r="U45" s="523">
        <f t="shared" si="26"/>
        <v>0</v>
      </c>
      <c r="V45" s="523">
        <f t="shared" si="26"/>
        <v>197.48679245283017</v>
      </c>
      <c r="W45" s="522">
        <f t="shared" si="26"/>
        <v>251.80943396226417</v>
      </c>
      <c r="X45" s="522">
        <f t="shared" si="26"/>
        <v>0</v>
      </c>
      <c r="Y45" s="522">
        <f t="shared" si="26"/>
        <v>0</v>
      </c>
      <c r="Z45" s="522">
        <f t="shared" si="26"/>
        <v>0</v>
      </c>
      <c r="AA45" s="522">
        <f t="shared" si="26"/>
        <v>0</v>
      </c>
      <c r="AB45" s="522">
        <f t="shared" si="26"/>
        <v>0</v>
      </c>
      <c r="AC45" s="522">
        <f t="shared" si="26"/>
        <v>0</v>
      </c>
      <c r="AD45" s="522">
        <f t="shared" si="26"/>
        <v>0</v>
      </c>
      <c r="AE45" s="522">
        <f t="shared" si="26"/>
        <v>0</v>
      </c>
      <c r="AF45" s="522">
        <f t="shared" si="26"/>
        <v>0</v>
      </c>
      <c r="AG45" s="522">
        <f t="shared" si="26"/>
        <v>0</v>
      </c>
      <c r="AH45" s="522">
        <f t="shared" si="26"/>
        <v>0</v>
      </c>
      <c r="AI45" s="522">
        <f t="shared" si="26"/>
        <v>0</v>
      </c>
      <c r="AJ45" s="522">
        <f t="shared" si="26"/>
        <v>0</v>
      </c>
      <c r="AK45" s="522">
        <f t="shared" si="26"/>
        <v>0</v>
      </c>
      <c r="AL45" s="522">
        <f t="shared" si="26"/>
        <v>0</v>
      </c>
      <c r="AM45" s="522">
        <f t="shared" si="26"/>
        <v>0</v>
      </c>
      <c r="AN45" s="522">
        <f t="shared" si="26"/>
        <v>0</v>
      </c>
      <c r="AO45" s="522">
        <f t="shared" si="26"/>
        <v>0</v>
      </c>
      <c r="AP45" s="522">
        <f t="shared" si="26"/>
        <v>0</v>
      </c>
      <c r="AQ45" s="522">
        <f t="shared" ref="AQ45:BV45" si="27">SUM(AQ38:AQ43)</f>
        <v>0</v>
      </c>
      <c r="AR45" s="522">
        <f t="shared" si="27"/>
        <v>0</v>
      </c>
      <c r="AS45" s="522">
        <f t="shared" si="27"/>
        <v>0</v>
      </c>
      <c r="AT45" s="522">
        <f t="shared" si="27"/>
        <v>0</v>
      </c>
      <c r="AU45" s="522">
        <f t="shared" si="27"/>
        <v>0</v>
      </c>
      <c r="AV45" s="522">
        <f t="shared" si="27"/>
        <v>0</v>
      </c>
      <c r="AW45" s="522">
        <f t="shared" si="27"/>
        <v>0</v>
      </c>
      <c r="AX45" s="522">
        <f t="shared" si="27"/>
        <v>0</v>
      </c>
      <c r="AY45" s="522">
        <f t="shared" si="27"/>
        <v>0</v>
      </c>
      <c r="AZ45" s="522">
        <f t="shared" si="27"/>
        <v>0</v>
      </c>
      <c r="BA45" s="522">
        <f t="shared" si="27"/>
        <v>0</v>
      </c>
      <c r="BB45" s="522">
        <f t="shared" si="27"/>
        <v>0</v>
      </c>
      <c r="BC45" s="522">
        <f t="shared" si="27"/>
        <v>0</v>
      </c>
      <c r="BD45" s="522">
        <f t="shared" si="27"/>
        <v>0</v>
      </c>
      <c r="BE45" s="522">
        <f t="shared" si="27"/>
        <v>0</v>
      </c>
      <c r="BF45" s="522">
        <f t="shared" si="27"/>
        <v>0</v>
      </c>
      <c r="BG45" s="522">
        <f t="shared" si="27"/>
        <v>0</v>
      </c>
      <c r="BH45" s="522">
        <f t="shared" si="27"/>
        <v>0</v>
      </c>
      <c r="BI45" s="522">
        <f t="shared" si="27"/>
        <v>0</v>
      </c>
      <c r="BJ45" s="522">
        <f t="shared" si="27"/>
        <v>0</v>
      </c>
      <c r="BK45" s="522">
        <f t="shared" si="27"/>
        <v>0</v>
      </c>
      <c r="BL45" s="522">
        <f t="shared" si="27"/>
        <v>0</v>
      </c>
      <c r="BM45" s="522">
        <f t="shared" si="27"/>
        <v>0</v>
      </c>
      <c r="BN45" s="522">
        <f t="shared" si="27"/>
        <v>0</v>
      </c>
      <c r="BO45" s="522">
        <f t="shared" si="27"/>
        <v>0</v>
      </c>
      <c r="BP45" s="522">
        <f t="shared" si="27"/>
        <v>0</v>
      </c>
      <c r="BQ45" s="522">
        <f t="shared" si="27"/>
        <v>0</v>
      </c>
      <c r="BR45" s="522">
        <f t="shared" si="27"/>
        <v>0</v>
      </c>
      <c r="BS45" s="522">
        <f t="shared" si="27"/>
        <v>0</v>
      </c>
      <c r="BT45" s="522">
        <f t="shared" si="27"/>
        <v>0</v>
      </c>
      <c r="BU45" s="522">
        <f t="shared" si="27"/>
        <v>0</v>
      </c>
      <c r="BV45" s="522">
        <f t="shared" si="27"/>
        <v>0</v>
      </c>
      <c r="BW45" s="522">
        <f t="shared" ref="BW45:DB45" si="28">SUM(BW38:BW43)</f>
        <v>0</v>
      </c>
      <c r="BX45" s="522">
        <f t="shared" si="28"/>
        <v>0</v>
      </c>
      <c r="BY45" s="522">
        <f t="shared" si="28"/>
        <v>0</v>
      </c>
      <c r="BZ45" s="522">
        <f t="shared" si="28"/>
        <v>0</v>
      </c>
      <c r="CA45" s="522">
        <f t="shared" si="28"/>
        <v>0</v>
      </c>
      <c r="CB45" s="522">
        <f t="shared" si="28"/>
        <v>0</v>
      </c>
      <c r="CC45" s="522">
        <f t="shared" si="28"/>
        <v>0</v>
      </c>
      <c r="CD45" s="522">
        <f t="shared" si="28"/>
        <v>0</v>
      </c>
      <c r="CE45" s="522">
        <f t="shared" si="28"/>
        <v>0</v>
      </c>
      <c r="CF45" s="522">
        <f t="shared" si="28"/>
        <v>0</v>
      </c>
      <c r="CG45" s="522">
        <f t="shared" si="28"/>
        <v>0</v>
      </c>
      <c r="CH45" s="522">
        <f t="shared" si="28"/>
        <v>0</v>
      </c>
      <c r="CI45" s="522">
        <f t="shared" si="28"/>
        <v>0</v>
      </c>
      <c r="CJ45" s="522">
        <f t="shared" si="28"/>
        <v>0</v>
      </c>
      <c r="CK45" s="522">
        <f t="shared" si="28"/>
        <v>0</v>
      </c>
      <c r="CL45" s="522">
        <f t="shared" si="28"/>
        <v>0</v>
      </c>
      <c r="CM45" s="522">
        <f t="shared" si="28"/>
        <v>0</v>
      </c>
      <c r="CN45" s="522">
        <f t="shared" si="28"/>
        <v>0</v>
      </c>
      <c r="CO45" s="522">
        <f t="shared" si="28"/>
        <v>0</v>
      </c>
      <c r="CP45" s="522">
        <f t="shared" si="28"/>
        <v>0</v>
      </c>
      <c r="CQ45" s="522">
        <f t="shared" si="28"/>
        <v>0</v>
      </c>
      <c r="CR45" s="522">
        <f t="shared" si="28"/>
        <v>0</v>
      </c>
      <c r="CS45" s="522">
        <f t="shared" si="28"/>
        <v>0</v>
      </c>
      <c r="CT45" s="522">
        <f t="shared" si="28"/>
        <v>0</v>
      </c>
      <c r="CU45" s="522">
        <f t="shared" si="28"/>
        <v>0</v>
      </c>
      <c r="CV45" s="522">
        <f t="shared" si="28"/>
        <v>0</v>
      </c>
      <c r="CW45" s="522">
        <f t="shared" si="28"/>
        <v>0</v>
      </c>
      <c r="CX45" s="522">
        <f t="shared" si="28"/>
        <v>0</v>
      </c>
      <c r="CY45" s="522">
        <f t="shared" si="28"/>
        <v>0</v>
      </c>
      <c r="CZ45" s="522">
        <f t="shared" si="28"/>
        <v>0</v>
      </c>
      <c r="DA45" s="522">
        <f t="shared" si="28"/>
        <v>0</v>
      </c>
      <c r="DB45" s="522">
        <f t="shared" si="28"/>
        <v>0</v>
      </c>
      <c r="DC45" s="522">
        <f t="shared" ref="DC45:EL45" si="29">SUM(DC38:DC43)</f>
        <v>0</v>
      </c>
      <c r="DD45" s="522">
        <f t="shared" si="29"/>
        <v>0</v>
      </c>
      <c r="DE45" s="522">
        <f t="shared" si="29"/>
        <v>0</v>
      </c>
      <c r="DF45" s="522">
        <f t="shared" si="29"/>
        <v>0</v>
      </c>
      <c r="DG45" s="522">
        <f t="shared" si="29"/>
        <v>0</v>
      </c>
      <c r="DH45" s="522">
        <f t="shared" si="29"/>
        <v>0</v>
      </c>
      <c r="DI45" s="522">
        <f t="shared" si="29"/>
        <v>0</v>
      </c>
      <c r="DJ45" s="522">
        <f t="shared" si="29"/>
        <v>0</v>
      </c>
      <c r="DK45" s="522">
        <f t="shared" si="29"/>
        <v>0</v>
      </c>
      <c r="DL45" s="522">
        <f t="shared" si="29"/>
        <v>0</v>
      </c>
      <c r="DM45" s="522">
        <f t="shared" si="29"/>
        <v>0</v>
      </c>
      <c r="DN45" s="522">
        <f t="shared" si="29"/>
        <v>0</v>
      </c>
      <c r="DO45" s="522">
        <f t="shared" si="29"/>
        <v>0</v>
      </c>
      <c r="DP45" s="522">
        <f t="shared" si="29"/>
        <v>0</v>
      </c>
      <c r="DQ45" s="522">
        <f t="shared" si="29"/>
        <v>0</v>
      </c>
      <c r="DR45" s="522">
        <f t="shared" si="29"/>
        <v>0</v>
      </c>
      <c r="DS45" s="522">
        <f t="shared" si="29"/>
        <v>0</v>
      </c>
      <c r="DT45" s="522">
        <f t="shared" si="29"/>
        <v>0</v>
      </c>
      <c r="DU45" s="522">
        <f t="shared" si="29"/>
        <v>0</v>
      </c>
      <c r="DV45" s="522">
        <f t="shared" si="29"/>
        <v>0</v>
      </c>
      <c r="DW45" s="522">
        <f t="shared" si="29"/>
        <v>0</v>
      </c>
      <c r="DX45" s="522">
        <f t="shared" si="29"/>
        <v>0</v>
      </c>
      <c r="DY45" s="522">
        <f t="shared" si="29"/>
        <v>0</v>
      </c>
      <c r="DZ45" s="522">
        <f t="shared" si="29"/>
        <v>0</v>
      </c>
      <c r="EA45" s="522">
        <f t="shared" si="29"/>
        <v>0</v>
      </c>
      <c r="EB45" s="522">
        <f t="shared" si="29"/>
        <v>0</v>
      </c>
      <c r="EC45" s="522">
        <f t="shared" si="29"/>
        <v>0</v>
      </c>
      <c r="ED45" s="522">
        <f t="shared" si="29"/>
        <v>0</v>
      </c>
      <c r="EE45" s="522">
        <f t="shared" si="29"/>
        <v>0</v>
      </c>
      <c r="EF45" s="522">
        <f t="shared" si="29"/>
        <v>0</v>
      </c>
      <c r="EG45" s="522">
        <f t="shared" si="29"/>
        <v>0</v>
      </c>
      <c r="EH45" s="522">
        <f t="shared" si="29"/>
        <v>0</v>
      </c>
      <c r="EI45" s="522">
        <f t="shared" si="29"/>
        <v>0</v>
      </c>
      <c r="EJ45" s="522">
        <f t="shared" si="29"/>
        <v>0</v>
      </c>
      <c r="EK45" s="522">
        <f t="shared" si="29"/>
        <v>0</v>
      </c>
      <c r="EL45" s="522">
        <f t="shared" si="29"/>
        <v>0</v>
      </c>
    </row>
    <row r="46" spans="1:142" s="778" customFormat="1" ht="30.75" customHeight="1">
      <c r="A46" s="535" t="s">
        <v>958</v>
      </c>
      <c r="B46" s="536"/>
      <c r="C46" s="494" t="s">
        <v>959</v>
      </c>
      <c r="D46" s="525"/>
      <c r="E46" s="537"/>
      <c r="F46" s="525" t="s">
        <v>960</v>
      </c>
      <c r="G46" s="538"/>
      <c r="H46" s="538"/>
      <c r="I46" s="539"/>
      <c r="J46" s="539"/>
      <c r="K46" s="540"/>
      <c r="L46" s="540"/>
      <c r="M46" s="540"/>
      <c r="N46" s="541"/>
      <c r="O46" s="540"/>
      <c r="P46" s="540"/>
      <c r="Q46" s="540"/>
      <c r="R46" s="541"/>
      <c r="S46" s="540"/>
      <c r="T46" s="541"/>
      <c r="U46" s="541"/>
      <c r="V46" s="541"/>
      <c r="W46" s="540"/>
      <c r="X46" s="540"/>
      <c r="Y46" s="575"/>
      <c r="Z46" s="575"/>
      <c r="AA46" s="575"/>
      <c r="AB46" s="575"/>
      <c r="AC46" s="575"/>
      <c r="AD46" s="575"/>
      <c r="AE46" s="575"/>
      <c r="AF46" s="575"/>
      <c r="AG46" s="575"/>
      <c r="AH46" s="575"/>
      <c r="AI46" s="497"/>
      <c r="AJ46" s="497"/>
      <c r="AK46" s="497"/>
      <c r="AL46" s="497"/>
      <c r="AM46" s="497"/>
      <c r="AN46" s="497"/>
      <c r="AO46" s="497"/>
      <c r="AP46" s="497"/>
      <c r="AQ46" s="497"/>
      <c r="AR46" s="497"/>
      <c r="AS46" s="497"/>
      <c r="AT46" s="497"/>
      <c r="AU46" s="497"/>
      <c r="AV46" s="497"/>
      <c r="AW46" s="497"/>
      <c r="AX46" s="497"/>
      <c r="AY46" s="497"/>
      <c r="AZ46" s="497"/>
      <c r="BA46" s="497"/>
      <c r="BB46" s="497"/>
      <c r="BC46" s="497"/>
      <c r="BD46" s="497"/>
      <c r="BE46" s="497"/>
      <c r="BF46" s="497"/>
      <c r="BG46" s="497"/>
      <c r="BH46" s="497"/>
      <c r="BI46" s="497"/>
      <c r="BJ46" s="497"/>
      <c r="BK46" s="497"/>
      <c r="BL46" s="497"/>
      <c r="BM46" s="497"/>
      <c r="BN46" s="497"/>
      <c r="BO46" s="497"/>
      <c r="BP46" s="497"/>
      <c r="BQ46" s="497"/>
      <c r="BR46" s="497"/>
      <c r="BS46" s="497"/>
      <c r="BT46" s="497"/>
      <c r="BU46" s="497"/>
      <c r="BV46" s="497"/>
      <c r="BW46" s="497"/>
      <c r="BX46" s="497"/>
      <c r="BY46" s="497"/>
      <c r="BZ46" s="497"/>
      <c r="CA46" s="497"/>
      <c r="CB46" s="497"/>
      <c r="CC46" s="497"/>
      <c r="CD46" s="497"/>
      <c r="CE46" s="497"/>
      <c r="CF46" s="497"/>
      <c r="CG46" s="497"/>
      <c r="CH46" s="497"/>
      <c r="CI46" s="497"/>
      <c r="CJ46" s="497"/>
      <c r="CK46" s="497"/>
      <c r="CL46" s="497"/>
      <c r="CM46" s="497"/>
      <c r="CN46" s="497"/>
      <c r="CO46" s="497"/>
      <c r="CP46" s="497"/>
      <c r="CQ46" s="497"/>
      <c r="CR46" s="497"/>
      <c r="CS46" s="497"/>
      <c r="CT46" s="497"/>
      <c r="CU46" s="497"/>
      <c r="CV46" s="497"/>
      <c r="CW46" s="497"/>
      <c r="CX46" s="497"/>
      <c r="CY46" s="497"/>
      <c r="CZ46" s="497"/>
      <c r="DA46" s="497"/>
      <c r="DB46" s="497"/>
      <c r="DC46" s="497"/>
      <c r="DD46" s="497"/>
      <c r="DE46" s="497"/>
      <c r="DF46" s="498"/>
      <c r="DG46" s="497"/>
      <c r="DH46" s="497"/>
      <c r="DI46" s="497"/>
      <c r="DJ46" s="497"/>
      <c r="DK46" s="497"/>
      <c r="DL46" s="497"/>
      <c r="DM46" s="497"/>
      <c r="DN46" s="497"/>
      <c r="DO46" s="497"/>
      <c r="DP46" s="497"/>
      <c r="DQ46" s="497"/>
      <c r="DR46" s="497"/>
      <c r="DS46" s="497"/>
      <c r="DT46" s="497"/>
      <c r="DU46" s="497"/>
      <c r="DV46" s="497"/>
      <c r="DW46" s="497"/>
      <c r="DX46" s="497"/>
      <c r="DY46" s="497"/>
      <c r="DZ46" s="497"/>
      <c r="EA46" s="497"/>
      <c r="EB46" s="497"/>
      <c r="EC46" s="497"/>
      <c r="ED46" s="497"/>
      <c r="EE46" s="497"/>
      <c r="EF46" s="497"/>
      <c r="EG46" s="497"/>
      <c r="EH46" s="497"/>
      <c r="EI46" s="497"/>
      <c r="EJ46" s="497"/>
      <c r="EK46" s="497"/>
      <c r="EL46" s="497"/>
    </row>
    <row r="47" spans="1:142" s="590" customFormat="1" ht="49.5" customHeight="1">
      <c r="A47" s="576">
        <v>1</v>
      </c>
      <c r="B47" s="862" t="s">
        <v>927</v>
      </c>
      <c r="C47" s="530" t="s">
        <v>961</v>
      </c>
      <c r="D47" s="528"/>
      <c r="E47" s="577" t="s">
        <v>962</v>
      </c>
      <c r="F47" s="557" t="s">
        <v>963</v>
      </c>
      <c r="G47" s="549">
        <v>690</v>
      </c>
      <c r="H47" s="549"/>
      <c r="I47" s="548"/>
      <c r="J47" s="548"/>
      <c r="K47" s="548">
        <f t="shared" ref="K47:K53" si="30">G47*0.95</f>
        <v>655.5</v>
      </c>
      <c r="L47" s="520">
        <f t="shared" ref="L47:L53" si="31">K47-P47</f>
        <v>505.5</v>
      </c>
      <c r="M47" s="520"/>
      <c r="N47" s="519"/>
      <c r="O47" s="520"/>
      <c r="P47" s="520">
        <v>150</v>
      </c>
      <c r="Q47" s="520">
        <f t="shared" ref="Q47:Q53" si="32">K47-W47</f>
        <v>458.85</v>
      </c>
      <c r="R47" s="519">
        <f t="shared" ref="R47:R53" si="33">Q47-V47</f>
        <v>353.85</v>
      </c>
      <c r="S47" s="520"/>
      <c r="T47" s="519"/>
      <c r="U47" s="519"/>
      <c r="V47" s="519">
        <v>105</v>
      </c>
      <c r="W47" s="520">
        <f t="shared" ref="W47:W53" si="34">K47*0.3</f>
        <v>196.65</v>
      </c>
      <c r="X47" s="578"/>
      <c r="Y47" s="579"/>
      <c r="Z47" s="579"/>
      <c r="AA47" s="579"/>
      <c r="AB47" s="579"/>
      <c r="AC47" s="579"/>
      <c r="AD47" s="579"/>
      <c r="AE47" s="579"/>
      <c r="AF47" s="580"/>
      <c r="AG47" s="580"/>
      <c r="AH47" s="580"/>
      <c r="AI47" s="581"/>
      <c r="AJ47" s="581"/>
      <c r="AK47" s="581"/>
      <c r="AL47" s="581"/>
      <c r="AM47" s="581"/>
      <c r="AN47" s="581"/>
      <c r="AO47" s="581"/>
      <c r="AP47" s="581"/>
      <c r="AQ47" s="581"/>
      <c r="AR47" s="581"/>
      <c r="AS47" s="581"/>
      <c r="AT47" s="581"/>
      <c r="AU47" s="581"/>
      <c r="AV47" s="581"/>
      <c r="AW47" s="581"/>
      <c r="AX47" s="581"/>
      <c r="AY47" s="581"/>
      <c r="AZ47" s="581"/>
      <c r="BA47" s="581"/>
      <c r="BB47" s="581"/>
      <c r="BC47" s="581"/>
      <c r="BD47" s="581"/>
      <c r="BE47" s="581"/>
      <c r="BF47" s="581"/>
      <c r="BG47" s="581"/>
      <c r="BH47" s="581"/>
      <c r="BI47" s="581"/>
      <c r="BJ47" s="581"/>
      <c r="BK47" s="581"/>
      <c r="BL47" s="581"/>
      <c r="BM47" s="581"/>
      <c r="BN47" s="581"/>
      <c r="BO47" s="581"/>
      <c r="BP47" s="581"/>
      <c r="BQ47" s="581"/>
      <c r="BR47" s="581"/>
      <c r="BS47" s="581"/>
      <c r="BT47" s="581"/>
      <c r="BU47" s="581"/>
      <c r="BV47" s="581"/>
      <c r="BW47" s="581"/>
      <c r="BX47" s="581"/>
      <c r="BY47" s="581"/>
      <c r="BZ47" s="581"/>
      <c r="CA47" s="581"/>
      <c r="CB47" s="581"/>
      <c r="CC47" s="581"/>
      <c r="CD47" s="581"/>
      <c r="CE47" s="581"/>
      <c r="CF47" s="581"/>
      <c r="CG47" s="581"/>
      <c r="CH47" s="581"/>
      <c r="CI47" s="581"/>
      <c r="CJ47" s="581"/>
      <c r="CK47" s="581"/>
      <c r="CL47" s="581"/>
      <c r="CM47" s="581"/>
      <c r="CN47" s="581"/>
      <c r="CO47" s="581"/>
      <c r="CP47" s="581"/>
      <c r="CQ47" s="581"/>
      <c r="CR47" s="581"/>
      <c r="CS47" s="581"/>
      <c r="CT47" s="581"/>
      <c r="CU47" s="581"/>
      <c r="CV47" s="581"/>
      <c r="CW47" s="581"/>
      <c r="CX47" s="581"/>
      <c r="CY47" s="581"/>
      <c r="CZ47" s="581"/>
      <c r="DA47" s="581"/>
      <c r="DB47" s="581"/>
      <c r="DC47" s="581"/>
      <c r="DD47" s="581"/>
      <c r="DE47" s="581"/>
      <c r="DF47" s="582"/>
      <c r="DG47" s="581"/>
      <c r="DH47" s="581"/>
      <c r="DI47" s="581"/>
      <c r="DJ47" s="582"/>
      <c r="DK47" s="581"/>
      <c r="DL47" s="581"/>
      <c r="DM47" s="581"/>
      <c r="DN47" s="581"/>
      <c r="DO47" s="582"/>
      <c r="DP47" s="581"/>
      <c r="DQ47" s="581"/>
      <c r="DR47" s="581"/>
      <c r="DS47" s="582"/>
      <c r="DT47" s="581"/>
      <c r="DU47" s="581"/>
      <c r="DV47" s="581"/>
      <c r="DW47" s="581"/>
      <c r="DX47" s="582"/>
      <c r="DY47" s="581"/>
      <c r="DZ47" s="581"/>
      <c r="EA47" s="581"/>
      <c r="EB47" s="581"/>
      <c r="EC47" s="581"/>
      <c r="ED47" s="581"/>
      <c r="EE47" s="581"/>
      <c r="EF47" s="581"/>
      <c r="EG47" s="581"/>
      <c r="EH47" s="581"/>
      <c r="EI47" s="581"/>
      <c r="EJ47" s="581"/>
      <c r="EK47" s="581"/>
      <c r="EL47" s="581"/>
    </row>
    <row r="48" spans="1:142" s="590" customFormat="1" ht="49.5" customHeight="1">
      <c r="A48" s="576">
        <v>2</v>
      </c>
      <c r="B48" s="807"/>
      <c r="C48" s="530" t="s">
        <v>964</v>
      </c>
      <c r="D48" s="528"/>
      <c r="E48" s="577" t="s">
        <v>965</v>
      </c>
      <c r="F48" s="557" t="s">
        <v>963</v>
      </c>
      <c r="G48" s="549">
        <v>1150</v>
      </c>
      <c r="H48" s="549"/>
      <c r="I48" s="548"/>
      <c r="J48" s="548"/>
      <c r="K48" s="548">
        <f t="shared" si="30"/>
        <v>1092.5</v>
      </c>
      <c r="L48" s="520">
        <f t="shared" si="31"/>
        <v>842.5</v>
      </c>
      <c r="M48" s="520"/>
      <c r="N48" s="519"/>
      <c r="O48" s="520"/>
      <c r="P48" s="520">
        <v>250</v>
      </c>
      <c r="Q48" s="520">
        <f t="shared" si="32"/>
        <v>764.75</v>
      </c>
      <c r="R48" s="519">
        <f t="shared" si="33"/>
        <v>589.75</v>
      </c>
      <c r="S48" s="520"/>
      <c r="T48" s="519"/>
      <c r="U48" s="519"/>
      <c r="V48" s="519">
        <v>175</v>
      </c>
      <c r="W48" s="520">
        <f t="shared" si="34"/>
        <v>327.75</v>
      </c>
      <c r="X48" s="578"/>
      <c r="Y48" s="579"/>
      <c r="Z48" s="579"/>
      <c r="AA48" s="579"/>
      <c r="AB48" s="579"/>
      <c r="AC48" s="579"/>
      <c r="AD48" s="579"/>
      <c r="AE48" s="579"/>
      <c r="AF48" s="580"/>
      <c r="AG48" s="580"/>
      <c r="AH48" s="580"/>
      <c r="AI48" s="581"/>
      <c r="AJ48" s="581"/>
      <c r="AK48" s="581"/>
      <c r="AL48" s="581"/>
      <c r="AM48" s="581"/>
      <c r="AN48" s="581"/>
      <c r="AO48" s="581"/>
      <c r="AP48" s="581"/>
      <c r="AQ48" s="581"/>
      <c r="AR48" s="581"/>
      <c r="AS48" s="581"/>
      <c r="AT48" s="581"/>
      <c r="AU48" s="581"/>
      <c r="AV48" s="581"/>
      <c r="AW48" s="581"/>
      <c r="AX48" s="581"/>
      <c r="AY48" s="581"/>
      <c r="AZ48" s="581"/>
      <c r="BA48" s="581"/>
      <c r="BB48" s="581"/>
      <c r="BC48" s="581"/>
      <c r="BD48" s="581"/>
      <c r="BE48" s="581"/>
      <c r="BF48" s="581"/>
      <c r="BG48" s="581"/>
      <c r="BH48" s="581"/>
      <c r="BI48" s="581"/>
      <c r="BJ48" s="581"/>
      <c r="BK48" s="581"/>
      <c r="BL48" s="581"/>
      <c r="BM48" s="581"/>
      <c r="BN48" s="581"/>
      <c r="BO48" s="581"/>
      <c r="BP48" s="581"/>
      <c r="BQ48" s="581"/>
      <c r="BR48" s="581"/>
      <c r="BS48" s="581"/>
      <c r="BT48" s="581"/>
      <c r="BU48" s="581"/>
      <c r="BV48" s="581"/>
      <c r="BW48" s="581"/>
      <c r="BX48" s="581"/>
      <c r="BY48" s="581"/>
      <c r="BZ48" s="581"/>
      <c r="CA48" s="581"/>
      <c r="CB48" s="581"/>
      <c r="CC48" s="581"/>
      <c r="CD48" s="581"/>
      <c r="CE48" s="581"/>
      <c r="CF48" s="581"/>
      <c r="CG48" s="581"/>
      <c r="CH48" s="581"/>
      <c r="CI48" s="581"/>
      <c r="CJ48" s="581"/>
      <c r="CK48" s="581"/>
      <c r="CL48" s="581"/>
      <c r="CM48" s="581"/>
      <c r="CN48" s="581"/>
      <c r="CO48" s="581"/>
      <c r="CP48" s="581"/>
      <c r="CQ48" s="581"/>
      <c r="CR48" s="581"/>
      <c r="CS48" s="581"/>
      <c r="CT48" s="581"/>
      <c r="CU48" s="581"/>
      <c r="CV48" s="581"/>
      <c r="CW48" s="581"/>
      <c r="CX48" s="581"/>
      <c r="CY48" s="581"/>
      <c r="CZ48" s="581"/>
      <c r="DA48" s="581"/>
      <c r="DB48" s="581"/>
      <c r="DC48" s="581"/>
      <c r="DD48" s="581"/>
      <c r="DE48" s="581"/>
      <c r="DF48" s="582"/>
      <c r="DG48" s="581"/>
      <c r="DH48" s="581"/>
      <c r="DI48" s="581"/>
      <c r="DJ48" s="582"/>
      <c r="DK48" s="581"/>
      <c r="DL48" s="581"/>
      <c r="DM48" s="581"/>
      <c r="DN48" s="581"/>
      <c r="DO48" s="582"/>
      <c r="DP48" s="581"/>
      <c r="DQ48" s="581"/>
      <c r="DR48" s="581"/>
      <c r="DS48" s="582"/>
      <c r="DT48" s="581"/>
      <c r="DU48" s="581"/>
      <c r="DV48" s="581"/>
      <c r="DW48" s="581"/>
      <c r="DX48" s="582"/>
      <c r="DY48" s="581"/>
      <c r="DZ48" s="581"/>
      <c r="EA48" s="581"/>
      <c r="EB48" s="581"/>
      <c r="EC48" s="581"/>
      <c r="ED48" s="581"/>
      <c r="EE48" s="581"/>
      <c r="EF48" s="581"/>
      <c r="EG48" s="581"/>
      <c r="EH48" s="581"/>
      <c r="EI48" s="581"/>
      <c r="EJ48" s="581"/>
      <c r="EK48" s="581"/>
      <c r="EL48" s="581"/>
    </row>
    <row r="49" spans="1:142" s="590" customFormat="1" ht="49.5" customHeight="1">
      <c r="A49" s="576">
        <v>3</v>
      </c>
      <c r="B49" s="807"/>
      <c r="C49" s="530" t="s">
        <v>966</v>
      </c>
      <c r="D49" s="528"/>
      <c r="E49" s="577" t="s">
        <v>967</v>
      </c>
      <c r="F49" s="557" t="s">
        <v>963</v>
      </c>
      <c r="G49" s="549">
        <v>920</v>
      </c>
      <c r="H49" s="549"/>
      <c r="I49" s="548"/>
      <c r="J49" s="548"/>
      <c r="K49" s="548">
        <f t="shared" si="30"/>
        <v>874</v>
      </c>
      <c r="L49" s="520">
        <f t="shared" si="31"/>
        <v>754</v>
      </c>
      <c r="M49" s="520"/>
      <c r="N49" s="519"/>
      <c r="O49" s="520"/>
      <c r="P49" s="520">
        <v>120</v>
      </c>
      <c r="Q49" s="520">
        <f t="shared" si="32"/>
        <v>611.79999999999995</v>
      </c>
      <c r="R49" s="519">
        <f t="shared" si="33"/>
        <v>527.79999999999995</v>
      </c>
      <c r="S49" s="520"/>
      <c r="T49" s="519"/>
      <c r="U49" s="519"/>
      <c r="V49" s="519">
        <v>84</v>
      </c>
      <c r="W49" s="520">
        <f t="shared" si="34"/>
        <v>262.2</v>
      </c>
      <c r="X49" s="578"/>
      <c r="Y49" s="579"/>
      <c r="Z49" s="579"/>
      <c r="AA49" s="579"/>
      <c r="AB49" s="579"/>
      <c r="AC49" s="579"/>
      <c r="AD49" s="579"/>
      <c r="AE49" s="579"/>
      <c r="AF49" s="580"/>
      <c r="AG49" s="580"/>
      <c r="AH49" s="580"/>
      <c r="AI49" s="581"/>
      <c r="AJ49" s="581"/>
      <c r="AK49" s="581"/>
      <c r="AL49" s="581"/>
      <c r="AM49" s="581"/>
      <c r="AN49" s="581"/>
      <c r="AO49" s="581"/>
      <c r="AP49" s="581"/>
      <c r="AQ49" s="581"/>
      <c r="AR49" s="581"/>
      <c r="AS49" s="581"/>
      <c r="AT49" s="581"/>
      <c r="AU49" s="581"/>
      <c r="AV49" s="581"/>
      <c r="AW49" s="581"/>
      <c r="AX49" s="581"/>
      <c r="AY49" s="581"/>
      <c r="AZ49" s="581"/>
      <c r="BA49" s="581"/>
      <c r="BB49" s="581"/>
      <c r="BC49" s="581"/>
      <c r="BD49" s="581"/>
      <c r="BE49" s="581"/>
      <c r="BF49" s="581"/>
      <c r="BG49" s="581"/>
      <c r="BH49" s="581"/>
      <c r="BI49" s="581"/>
      <c r="BJ49" s="581"/>
      <c r="BK49" s="581"/>
      <c r="BL49" s="581"/>
      <c r="BM49" s="581"/>
      <c r="BN49" s="581"/>
      <c r="BO49" s="581"/>
      <c r="BP49" s="581"/>
      <c r="BQ49" s="581"/>
      <c r="BR49" s="581"/>
      <c r="BS49" s="581"/>
      <c r="BT49" s="581"/>
      <c r="BU49" s="581"/>
      <c r="BV49" s="581"/>
      <c r="BW49" s="581"/>
      <c r="BX49" s="581"/>
      <c r="BY49" s="581"/>
      <c r="BZ49" s="581"/>
      <c r="CA49" s="581"/>
      <c r="CB49" s="581"/>
      <c r="CC49" s="581"/>
      <c r="CD49" s="581"/>
      <c r="CE49" s="581"/>
      <c r="CF49" s="581"/>
      <c r="CG49" s="581"/>
      <c r="CH49" s="581"/>
      <c r="CI49" s="581"/>
      <c r="CJ49" s="581"/>
      <c r="CK49" s="581"/>
      <c r="CL49" s="581"/>
      <c r="CM49" s="581"/>
      <c r="CN49" s="581"/>
      <c r="CO49" s="581"/>
      <c r="CP49" s="581"/>
      <c r="CQ49" s="581"/>
      <c r="CR49" s="581"/>
      <c r="CS49" s="581"/>
      <c r="CT49" s="581"/>
      <c r="CU49" s="581"/>
      <c r="CV49" s="581"/>
      <c r="CW49" s="581"/>
      <c r="CX49" s="581"/>
      <c r="CY49" s="581"/>
      <c r="CZ49" s="581"/>
      <c r="DA49" s="581"/>
      <c r="DB49" s="581"/>
      <c r="DC49" s="581"/>
      <c r="DD49" s="581"/>
      <c r="DE49" s="581"/>
      <c r="DF49" s="582"/>
      <c r="DG49" s="581"/>
      <c r="DH49" s="581"/>
      <c r="DI49" s="581"/>
      <c r="DJ49" s="582"/>
      <c r="DK49" s="581"/>
      <c r="DL49" s="581"/>
      <c r="DM49" s="581"/>
      <c r="DN49" s="581"/>
      <c r="DO49" s="582"/>
      <c r="DP49" s="581"/>
      <c r="DQ49" s="581"/>
      <c r="DR49" s="581"/>
      <c r="DS49" s="582"/>
      <c r="DT49" s="581"/>
      <c r="DU49" s="581"/>
      <c r="DV49" s="581"/>
      <c r="DW49" s="581"/>
      <c r="DX49" s="582"/>
      <c r="DY49" s="581"/>
      <c r="DZ49" s="581"/>
      <c r="EA49" s="581"/>
      <c r="EB49" s="581"/>
      <c r="EC49" s="581"/>
      <c r="ED49" s="581"/>
      <c r="EE49" s="581"/>
      <c r="EF49" s="581"/>
      <c r="EG49" s="581"/>
      <c r="EH49" s="581"/>
      <c r="EI49" s="581"/>
      <c r="EJ49" s="581"/>
      <c r="EK49" s="581"/>
      <c r="EL49" s="581"/>
    </row>
    <row r="50" spans="1:142" s="590" customFormat="1" ht="49.5" customHeight="1">
      <c r="A50" s="583">
        <v>4</v>
      </c>
      <c r="B50" s="807"/>
      <c r="C50" s="528" t="s">
        <v>968</v>
      </c>
      <c r="D50" s="528"/>
      <c r="E50" s="577" t="s">
        <v>969</v>
      </c>
      <c r="F50" s="557" t="s">
        <v>963</v>
      </c>
      <c r="G50" s="549">
        <v>460</v>
      </c>
      <c r="H50" s="549"/>
      <c r="I50" s="549"/>
      <c r="J50" s="549"/>
      <c r="K50" s="549">
        <f t="shared" si="30"/>
        <v>437</v>
      </c>
      <c r="L50" s="519">
        <f t="shared" si="31"/>
        <v>377</v>
      </c>
      <c r="M50" s="519"/>
      <c r="N50" s="519"/>
      <c r="O50" s="519"/>
      <c r="P50" s="519">
        <v>60</v>
      </c>
      <c r="Q50" s="519">
        <f t="shared" si="32"/>
        <v>305.89999999999998</v>
      </c>
      <c r="R50" s="519">
        <f t="shared" si="33"/>
        <v>263.89999999999998</v>
      </c>
      <c r="S50" s="519"/>
      <c r="T50" s="519"/>
      <c r="U50" s="519"/>
      <c r="V50" s="519">
        <v>42</v>
      </c>
      <c r="W50" s="519">
        <f t="shared" si="34"/>
        <v>131.1</v>
      </c>
      <c r="X50" s="584"/>
      <c r="Y50" s="585"/>
      <c r="Z50" s="585"/>
      <c r="AA50" s="585"/>
      <c r="AB50" s="585"/>
      <c r="AC50" s="585"/>
      <c r="AD50" s="585"/>
      <c r="AE50" s="585"/>
      <c r="AF50" s="586"/>
      <c r="AG50" s="586"/>
      <c r="AH50" s="586"/>
      <c r="AI50" s="581"/>
      <c r="AJ50" s="581"/>
      <c r="AK50" s="581"/>
      <c r="AL50" s="581"/>
      <c r="AM50" s="581"/>
      <c r="AN50" s="581"/>
      <c r="AO50" s="581"/>
      <c r="AP50" s="581"/>
      <c r="AQ50" s="581"/>
      <c r="AR50" s="581"/>
      <c r="AS50" s="581"/>
      <c r="AT50" s="581"/>
      <c r="AU50" s="581"/>
      <c r="AV50" s="581"/>
      <c r="AW50" s="581"/>
      <c r="AX50" s="581"/>
      <c r="AY50" s="581"/>
      <c r="AZ50" s="581"/>
      <c r="BA50" s="581"/>
      <c r="BB50" s="581"/>
      <c r="BC50" s="581"/>
      <c r="BD50" s="581"/>
      <c r="BE50" s="581"/>
      <c r="BF50" s="581"/>
      <c r="BG50" s="581"/>
      <c r="BH50" s="581"/>
      <c r="BI50" s="581"/>
      <c r="BJ50" s="581"/>
      <c r="BK50" s="581"/>
      <c r="BL50" s="581"/>
      <c r="BM50" s="581"/>
      <c r="BN50" s="581"/>
      <c r="BO50" s="581"/>
      <c r="BP50" s="581"/>
      <c r="BQ50" s="581"/>
      <c r="BR50" s="581"/>
      <c r="BS50" s="587"/>
      <c r="BT50" s="587"/>
      <c r="BU50" s="587"/>
      <c r="BV50" s="587"/>
      <c r="BW50" s="587"/>
      <c r="BX50" s="587"/>
      <c r="BY50" s="587"/>
      <c r="BZ50" s="587"/>
      <c r="CA50" s="587"/>
      <c r="CB50" s="587"/>
      <c r="CC50" s="587"/>
      <c r="CD50" s="587"/>
      <c r="CE50" s="587"/>
      <c r="CF50" s="587"/>
      <c r="CG50" s="587"/>
      <c r="CH50" s="587"/>
      <c r="CI50" s="587"/>
      <c r="CJ50" s="587"/>
      <c r="CK50" s="587"/>
      <c r="CL50" s="587"/>
      <c r="CM50" s="587"/>
      <c r="CN50" s="587"/>
      <c r="CO50" s="587"/>
      <c r="CP50" s="587"/>
      <c r="CQ50" s="587"/>
      <c r="CR50" s="587"/>
      <c r="CS50" s="587"/>
      <c r="CT50" s="587"/>
      <c r="CU50" s="587"/>
      <c r="CV50" s="587"/>
      <c r="CW50" s="587"/>
      <c r="CX50" s="587"/>
      <c r="CY50" s="587"/>
      <c r="CZ50" s="587"/>
      <c r="DA50" s="587"/>
      <c r="DB50" s="587"/>
      <c r="DC50" s="587"/>
      <c r="DD50" s="587"/>
      <c r="DE50" s="587"/>
      <c r="DF50" s="588"/>
      <c r="DG50" s="587"/>
      <c r="DH50" s="587"/>
      <c r="DI50" s="587"/>
      <c r="DJ50" s="588"/>
      <c r="DK50" s="587"/>
      <c r="DL50" s="587"/>
      <c r="DM50" s="587"/>
      <c r="DN50" s="587"/>
      <c r="DO50" s="588"/>
      <c r="DP50" s="587"/>
      <c r="DQ50" s="587"/>
      <c r="DR50" s="587"/>
      <c r="DS50" s="588"/>
      <c r="DT50" s="587"/>
      <c r="DU50" s="587"/>
      <c r="DV50" s="587"/>
      <c r="DW50" s="587"/>
      <c r="DX50" s="588"/>
      <c r="DY50" s="587"/>
      <c r="DZ50" s="587"/>
      <c r="EA50" s="587"/>
      <c r="EB50" s="587"/>
      <c r="EC50" s="587"/>
      <c r="ED50" s="587"/>
      <c r="EE50" s="587"/>
      <c r="EF50" s="587"/>
      <c r="EG50" s="587"/>
      <c r="EH50" s="587"/>
      <c r="EI50" s="587"/>
      <c r="EJ50" s="587"/>
      <c r="EK50" s="587"/>
      <c r="EL50" s="587"/>
    </row>
    <row r="51" spans="1:142" s="590" customFormat="1" ht="49.5" customHeight="1">
      <c r="A51" s="583">
        <v>5</v>
      </c>
      <c r="B51" s="807"/>
      <c r="C51" s="528" t="s">
        <v>970</v>
      </c>
      <c r="D51" s="528"/>
      <c r="E51" s="577" t="s">
        <v>971</v>
      </c>
      <c r="F51" s="557" t="s">
        <v>963</v>
      </c>
      <c r="G51" s="549">
        <v>690</v>
      </c>
      <c r="H51" s="549"/>
      <c r="I51" s="549"/>
      <c r="J51" s="549"/>
      <c r="K51" s="549">
        <f t="shared" si="30"/>
        <v>655.5</v>
      </c>
      <c r="L51" s="519">
        <f t="shared" si="31"/>
        <v>545.5</v>
      </c>
      <c r="M51" s="519"/>
      <c r="N51" s="519"/>
      <c r="O51" s="519"/>
      <c r="P51" s="519">
        <v>110</v>
      </c>
      <c r="Q51" s="519">
        <f t="shared" si="32"/>
        <v>458.85</v>
      </c>
      <c r="R51" s="519">
        <f t="shared" si="33"/>
        <v>381.85</v>
      </c>
      <c r="S51" s="519"/>
      <c r="T51" s="519"/>
      <c r="U51" s="519"/>
      <c r="V51" s="519">
        <v>77</v>
      </c>
      <c r="W51" s="519">
        <f t="shared" si="34"/>
        <v>196.65</v>
      </c>
      <c r="X51" s="584"/>
      <c r="Y51" s="585"/>
      <c r="Z51" s="585"/>
      <c r="AA51" s="585"/>
      <c r="AB51" s="585"/>
      <c r="AC51" s="585"/>
      <c r="AD51" s="585"/>
      <c r="AE51" s="585"/>
      <c r="AF51" s="586"/>
      <c r="AG51" s="586"/>
      <c r="AH51" s="586"/>
      <c r="AI51" s="581"/>
      <c r="AJ51" s="581"/>
      <c r="AK51" s="581"/>
      <c r="AL51" s="581"/>
      <c r="AM51" s="581"/>
      <c r="AN51" s="581"/>
      <c r="AO51" s="581"/>
      <c r="AP51" s="581"/>
      <c r="AQ51" s="581"/>
      <c r="AR51" s="581"/>
      <c r="AS51" s="581"/>
      <c r="AT51" s="581"/>
      <c r="AU51" s="581"/>
      <c r="AV51" s="581"/>
      <c r="AW51" s="581"/>
      <c r="AX51" s="581"/>
      <c r="AY51" s="581"/>
      <c r="AZ51" s="581"/>
      <c r="BA51" s="581"/>
      <c r="BB51" s="581"/>
      <c r="BC51" s="581"/>
      <c r="BD51" s="581"/>
      <c r="BE51" s="581"/>
      <c r="BF51" s="581"/>
      <c r="BG51" s="581"/>
      <c r="BH51" s="581"/>
      <c r="BI51" s="581"/>
      <c r="BJ51" s="581"/>
      <c r="BK51" s="581"/>
      <c r="BL51" s="581"/>
      <c r="BM51" s="581"/>
      <c r="BN51" s="581"/>
      <c r="BO51" s="581"/>
      <c r="BP51" s="581"/>
      <c r="BQ51" s="581"/>
      <c r="BR51" s="581"/>
      <c r="BS51" s="587"/>
      <c r="BT51" s="587"/>
      <c r="BU51" s="587"/>
      <c r="BV51" s="587"/>
      <c r="BW51" s="587"/>
      <c r="BX51" s="587"/>
      <c r="BY51" s="587"/>
      <c r="BZ51" s="587"/>
      <c r="CA51" s="587"/>
      <c r="CB51" s="587"/>
      <c r="CC51" s="587"/>
      <c r="CD51" s="587"/>
      <c r="CE51" s="587"/>
      <c r="CF51" s="587"/>
      <c r="CG51" s="587"/>
      <c r="CH51" s="587"/>
      <c r="CI51" s="587"/>
      <c r="CJ51" s="587"/>
      <c r="CK51" s="587"/>
      <c r="CL51" s="587"/>
      <c r="CM51" s="587"/>
      <c r="CN51" s="587"/>
      <c r="CO51" s="587"/>
      <c r="CP51" s="587"/>
      <c r="CQ51" s="587"/>
      <c r="CR51" s="587"/>
      <c r="CS51" s="587"/>
      <c r="CT51" s="587"/>
      <c r="CU51" s="587"/>
      <c r="CV51" s="587"/>
      <c r="CW51" s="587"/>
      <c r="CX51" s="587"/>
      <c r="CY51" s="587"/>
      <c r="CZ51" s="587"/>
      <c r="DA51" s="587"/>
      <c r="DB51" s="587"/>
      <c r="DC51" s="587"/>
      <c r="DD51" s="587"/>
      <c r="DE51" s="587"/>
      <c r="DF51" s="588"/>
      <c r="DG51" s="587"/>
      <c r="DH51" s="587"/>
      <c r="DI51" s="587"/>
      <c r="DJ51" s="588"/>
      <c r="DK51" s="587"/>
      <c r="DL51" s="587"/>
      <c r="DM51" s="587"/>
      <c r="DN51" s="587"/>
      <c r="DO51" s="588"/>
      <c r="DP51" s="587"/>
      <c r="DQ51" s="587"/>
      <c r="DR51" s="587"/>
      <c r="DS51" s="588"/>
      <c r="DT51" s="587"/>
      <c r="DU51" s="587"/>
      <c r="DV51" s="587"/>
      <c r="DW51" s="587"/>
      <c r="DX51" s="588"/>
      <c r="DY51" s="587"/>
      <c r="DZ51" s="587"/>
      <c r="EA51" s="587"/>
      <c r="EB51" s="587"/>
      <c r="EC51" s="587"/>
      <c r="ED51" s="587"/>
      <c r="EE51" s="587"/>
      <c r="EF51" s="587"/>
      <c r="EG51" s="587"/>
      <c r="EH51" s="587"/>
      <c r="EI51" s="587"/>
      <c r="EJ51" s="587"/>
      <c r="EK51" s="587"/>
      <c r="EL51" s="587"/>
    </row>
    <row r="52" spans="1:142" s="590" customFormat="1" ht="49.5" customHeight="1">
      <c r="A52" s="589">
        <v>6</v>
      </c>
      <c r="B52" s="807"/>
      <c r="C52" s="528" t="s">
        <v>972</v>
      </c>
      <c r="E52" s="577" t="s">
        <v>973</v>
      </c>
      <c r="F52" s="557" t="s">
        <v>963</v>
      </c>
      <c r="G52" s="549">
        <v>690</v>
      </c>
      <c r="H52" s="549"/>
      <c r="I52" s="549"/>
      <c r="J52" s="549"/>
      <c r="K52" s="549">
        <f t="shared" si="30"/>
        <v>655.5</v>
      </c>
      <c r="L52" s="519">
        <f t="shared" si="31"/>
        <v>505.5</v>
      </c>
      <c r="M52" s="519"/>
      <c r="N52" s="519"/>
      <c r="O52" s="519"/>
      <c r="P52" s="519">
        <v>150</v>
      </c>
      <c r="Q52" s="519">
        <f t="shared" si="32"/>
        <v>458.85</v>
      </c>
      <c r="R52" s="519">
        <f t="shared" si="33"/>
        <v>353.85</v>
      </c>
      <c r="S52" s="519"/>
      <c r="T52" s="519"/>
      <c r="U52" s="519"/>
      <c r="V52" s="519">
        <v>105</v>
      </c>
      <c r="W52" s="519">
        <f t="shared" si="34"/>
        <v>196.65</v>
      </c>
      <c r="X52" s="584"/>
      <c r="Y52" s="585"/>
      <c r="Z52" s="585"/>
      <c r="AA52" s="585"/>
      <c r="AB52" s="585"/>
      <c r="AC52" s="585"/>
      <c r="AD52" s="585"/>
      <c r="AE52" s="585"/>
      <c r="AF52" s="586"/>
      <c r="AG52" s="586"/>
      <c r="AH52" s="586"/>
      <c r="AI52" s="581"/>
      <c r="AJ52" s="581"/>
      <c r="AK52" s="581"/>
      <c r="AL52" s="581"/>
      <c r="AM52" s="581"/>
      <c r="AN52" s="581"/>
      <c r="AO52" s="581"/>
      <c r="AP52" s="581"/>
      <c r="AQ52" s="581"/>
      <c r="AR52" s="581"/>
      <c r="AS52" s="581"/>
      <c r="AT52" s="581"/>
      <c r="AU52" s="581"/>
      <c r="AV52" s="581"/>
      <c r="AW52" s="581"/>
      <c r="AX52" s="581"/>
      <c r="AY52" s="581"/>
      <c r="AZ52" s="581"/>
      <c r="BA52" s="581"/>
      <c r="BB52" s="581"/>
      <c r="BC52" s="581"/>
      <c r="BD52" s="581"/>
      <c r="BE52" s="581"/>
      <c r="BF52" s="581"/>
      <c r="BG52" s="581"/>
      <c r="BH52" s="581"/>
      <c r="BI52" s="581"/>
      <c r="BJ52" s="581"/>
      <c r="BK52" s="581"/>
      <c r="BL52" s="581"/>
      <c r="BM52" s="581"/>
      <c r="BN52" s="581"/>
      <c r="BO52" s="581"/>
      <c r="BP52" s="581"/>
      <c r="BQ52" s="581"/>
      <c r="BR52" s="581"/>
      <c r="BS52" s="587"/>
      <c r="BT52" s="587"/>
      <c r="BU52" s="587"/>
      <c r="BV52" s="587"/>
      <c r="BW52" s="587"/>
      <c r="BX52" s="587"/>
      <c r="BY52" s="587"/>
      <c r="BZ52" s="587"/>
      <c r="CA52" s="587"/>
      <c r="CB52" s="587"/>
      <c r="CC52" s="587"/>
      <c r="CD52" s="587"/>
      <c r="CE52" s="587"/>
      <c r="CF52" s="587"/>
      <c r="CG52" s="587"/>
      <c r="CH52" s="587"/>
      <c r="CI52" s="587"/>
      <c r="CJ52" s="587"/>
      <c r="CK52" s="587"/>
      <c r="CL52" s="587"/>
      <c r="CM52" s="587"/>
      <c r="CN52" s="587"/>
      <c r="CO52" s="587"/>
      <c r="CP52" s="587"/>
      <c r="CQ52" s="587"/>
      <c r="CR52" s="587"/>
      <c r="CS52" s="587"/>
      <c r="CT52" s="587"/>
      <c r="CU52" s="587"/>
      <c r="CV52" s="587"/>
      <c r="CW52" s="587"/>
      <c r="CX52" s="587"/>
      <c r="CY52" s="587"/>
      <c r="CZ52" s="587"/>
      <c r="DA52" s="587"/>
      <c r="DB52" s="587"/>
      <c r="DC52" s="587"/>
      <c r="DD52" s="587"/>
      <c r="DE52" s="587"/>
      <c r="DF52" s="588"/>
      <c r="DG52" s="587"/>
      <c r="DH52" s="587"/>
      <c r="DI52" s="587"/>
      <c r="DJ52" s="588"/>
      <c r="DK52" s="587"/>
      <c r="DL52" s="587"/>
      <c r="DM52" s="587"/>
      <c r="DN52" s="587"/>
      <c r="DO52" s="588"/>
      <c r="DP52" s="587"/>
      <c r="DQ52" s="587"/>
      <c r="DR52" s="587"/>
      <c r="DS52" s="588"/>
      <c r="DT52" s="587"/>
      <c r="DU52" s="587"/>
      <c r="DV52" s="587"/>
      <c r="DW52" s="587"/>
      <c r="DX52" s="588"/>
      <c r="DY52" s="587"/>
      <c r="DZ52" s="587"/>
      <c r="EA52" s="587"/>
      <c r="EB52" s="587"/>
      <c r="EC52" s="587"/>
      <c r="ED52" s="587"/>
      <c r="EE52" s="587"/>
      <c r="EF52" s="587"/>
      <c r="EG52" s="587"/>
      <c r="EH52" s="587"/>
      <c r="EI52" s="587"/>
      <c r="EJ52" s="587"/>
      <c r="EK52" s="587"/>
      <c r="EL52" s="587"/>
    </row>
    <row r="53" spans="1:142" s="590" customFormat="1" ht="49.5" customHeight="1">
      <c r="A53" s="589">
        <v>7</v>
      </c>
      <c r="B53" s="807"/>
      <c r="C53" s="528" t="s">
        <v>974</v>
      </c>
      <c r="D53" s="528"/>
      <c r="E53" s="577" t="s">
        <v>975</v>
      </c>
      <c r="F53" s="557" t="s">
        <v>963</v>
      </c>
      <c r="G53" s="549">
        <v>3400</v>
      </c>
      <c r="H53" s="549"/>
      <c r="I53" s="549"/>
      <c r="J53" s="549"/>
      <c r="K53" s="591">
        <f t="shared" si="30"/>
        <v>3230</v>
      </c>
      <c r="L53" s="591">
        <f t="shared" si="31"/>
        <v>2180</v>
      </c>
      <c r="M53" s="591"/>
      <c r="N53" s="591"/>
      <c r="O53" s="591"/>
      <c r="P53" s="591">
        <v>1050</v>
      </c>
      <c r="Q53" s="591">
        <f t="shared" si="32"/>
        <v>2261</v>
      </c>
      <c r="R53" s="591">
        <f t="shared" si="33"/>
        <v>1526</v>
      </c>
      <c r="S53" s="591"/>
      <c r="T53" s="591"/>
      <c r="U53" s="591"/>
      <c r="V53" s="591">
        <v>735</v>
      </c>
      <c r="W53" s="591">
        <f t="shared" si="34"/>
        <v>969</v>
      </c>
      <c r="X53" s="584"/>
      <c r="Y53" s="585"/>
      <c r="Z53" s="585"/>
      <c r="AA53" s="585"/>
      <c r="AB53" s="585"/>
      <c r="AC53" s="585"/>
      <c r="AD53" s="585"/>
      <c r="AE53" s="585"/>
      <c r="AF53" s="586"/>
      <c r="AG53" s="586"/>
      <c r="AH53" s="586"/>
      <c r="AI53" s="581"/>
      <c r="AJ53" s="581"/>
      <c r="AK53" s="581"/>
      <c r="AL53" s="581"/>
      <c r="AM53" s="581"/>
      <c r="AN53" s="581"/>
      <c r="AO53" s="581"/>
      <c r="AP53" s="581"/>
      <c r="AQ53" s="581"/>
      <c r="AR53" s="581"/>
      <c r="AS53" s="581"/>
      <c r="AT53" s="581"/>
      <c r="AU53" s="581"/>
      <c r="AV53" s="581"/>
      <c r="AW53" s="581"/>
      <c r="AX53" s="581"/>
      <c r="AY53" s="581"/>
      <c r="AZ53" s="581"/>
      <c r="BA53" s="581"/>
      <c r="BB53" s="581"/>
      <c r="BC53" s="581"/>
      <c r="BD53" s="581"/>
      <c r="BE53" s="581"/>
      <c r="BF53" s="581"/>
      <c r="BG53" s="581"/>
      <c r="BH53" s="581"/>
      <c r="BI53" s="581"/>
      <c r="BJ53" s="581"/>
      <c r="BK53" s="581"/>
      <c r="BL53" s="581"/>
      <c r="BM53" s="581"/>
      <c r="BN53" s="581"/>
      <c r="BO53" s="581"/>
      <c r="BP53" s="581"/>
      <c r="BQ53" s="581"/>
      <c r="BR53" s="581"/>
      <c r="BS53" s="587"/>
      <c r="BT53" s="587"/>
      <c r="BU53" s="587"/>
      <c r="BV53" s="587"/>
      <c r="BW53" s="587"/>
      <c r="BX53" s="587"/>
      <c r="BY53" s="587"/>
      <c r="BZ53" s="587"/>
      <c r="CA53" s="587"/>
      <c r="CB53" s="587"/>
      <c r="CC53" s="587"/>
      <c r="CD53" s="587"/>
      <c r="CE53" s="587"/>
      <c r="CF53" s="587"/>
      <c r="CG53" s="587"/>
      <c r="CH53" s="587"/>
      <c r="CI53" s="587"/>
      <c r="CJ53" s="587"/>
      <c r="CK53" s="587"/>
      <c r="CL53" s="587"/>
      <c r="CM53" s="587"/>
      <c r="CN53" s="587"/>
      <c r="CO53" s="587"/>
      <c r="CP53" s="587"/>
      <c r="CQ53" s="587"/>
      <c r="CR53" s="587"/>
      <c r="CS53" s="587"/>
      <c r="CT53" s="587"/>
      <c r="CU53" s="587"/>
      <c r="CV53" s="587"/>
      <c r="CW53" s="587"/>
      <c r="CX53" s="587"/>
      <c r="CY53" s="587"/>
      <c r="CZ53" s="587"/>
      <c r="DA53" s="587"/>
      <c r="DB53" s="587"/>
      <c r="DC53" s="587"/>
      <c r="DD53" s="587"/>
      <c r="DE53" s="587"/>
      <c r="DF53" s="588"/>
      <c r="DG53" s="587"/>
      <c r="DH53" s="587"/>
      <c r="DI53" s="587"/>
      <c r="DJ53" s="588"/>
      <c r="DK53" s="587"/>
      <c r="DL53" s="587"/>
      <c r="DM53" s="587"/>
      <c r="DN53" s="587"/>
      <c r="DO53" s="588"/>
      <c r="DP53" s="587"/>
      <c r="DQ53" s="587"/>
      <c r="DR53" s="587"/>
      <c r="DS53" s="588"/>
      <c r="DT53" s="587"/>
      <c r="DU53" s="587"/>
      <c r="DV53" s="587"/>
      <c r="DW53" s="587"/>
      <c r="DX53" s="588"/>
      <c r="DY53" s="587"/>
      <c r="DZ53" s="587"/>
      <c r="EA53" s="587"/>
      <c r="EB53" s="587"/>
      <c r="EC53" s="587"/>
      <c r="ED53" s="587"/>
      <c r="EE53" s="587"/>
      <c r="EF53" s="587"/>
      <c r="EG53" s="587"/>
      <c r="EH53" s="587"/>
      <c r="EI53" s="587"/>
      <c r="EJ53" s="587"/>
      <c r="EK53" s="587"/>
      <c r="EL53" s="587"/>
    </row>
    <row r="54" spans="1:142" s="590" customFormat="1" ht="49.5" customHeight="1">
      <c r="A54" s="592">
        <v>8</v>
      </c>
      <c r="B54" s="807"/>
      <c r="C54" s="530" t="s">
        <v>976</v>
      </c>
      <c r="D54" s="593"/>
      <c r="E54" s="594"/>
      <c r="F54" s="543" t="s">
        <v>977</v>
      </c>
      <c r="G54" s="595">
        <v>110</v>
      </c>
      <c r="H54" s="595"/>
      <c r="I54" s="548"/>
      <c r="J54" s="548"/>
      <c r="K54" s="548">
        <f t="shared" ref="K54:K65" si="35">L54+P54</f>
        <v>98.513942227416933</v>
      </c>
      <c r="L54" s="548">
        <f>90/1.13</f>
        <v>79.646017699115049</v>
      </c>
      <c r="M54" s="548"/>
      <c r="N54" s="549"/>
      <c r="P54" s="548">
        <f>20/1.06</f>
        <v>18.867924528301884</v>
      </c>
      <c r="Q54" s="548">
        <f t="shared" ref="Q54:Q65" si="36">R54+V54</f>
        <v>42.074027383536489</v>
      </c>
      <c r="R54" s="549">
        <f>42.432/1.13</f>
        <v>37.550442477876111</v>
      </c>
      <c r="S54" s="548"/>
      <c r="T54" s="549"/>
      <c r="V54" s="549">
        <f>4.795/1.06</f>
        <v>4.5235849056603774</v>
      </c>
      <c r="W54" s="548">
        <f t="shared" ref="W54:W72" si="37">K54-Q54</f>
        <v>56.439914843880445</v>
      </c>
      <c r="X54" s="578"/>
      <c r="Y54" s="579"/>
      <c r="Z54" s="579"/>
      <c r="AA54" s="579"/>
      <c r="AB54" s="579"/>
      <c r="AC54" s="579"/>
      <c r="AD54" s="579"/>
      <c r="AE54" s="579"/>
      <c r="AF54" s="580"/>
      <c r="AG54" s="580"/>
      <c r="AH54" s="580"/>
      <c r="AI54" s="581"/>
      <c r="AJ54" s="581"/>
      <c r="AK54" s="581"/>
      <c r="AL54" s="581"/>
      <c r="AM54" s="581"/>
      <c r="AN54" s="581"/>
      <c r="AO54" s="581"/>
      <c r="AP54" s="581"/>
      <c r="AQ54" s="581"/>
      <c r="AR54" s="581"/>
      <c r="AS54" s="581"/>
      <c r="AT54" s="581"/>
      <c r="AU54" s="581"/>
      <c r="AV54" s="581"/>
      <c r="AW54" s="581"/>
      <c r="AX54" s="581"/>
      <c r="AY54" s="581"/>
      <c r="AZ54" s="581"/>
      <c r="BA54" s="581"/>
      <c r="BB54" s="581"/>
      <c r="BC54" s="581"/>
      <c r="BD54" s="581"/>
      <c r="BE54" s="581"/>
      <c r="BF54" s="581"/>
      <c r="BG54" s="581"/>
      <c r="BH54" s="581"/>
      <c r="BI54" s="581"/>
      <c r="BJ54" s="581"/>
      <c r="BK54" s="581"/>
      <c r="BL54" s="581"/>
      <c r="BM54" s="581"/>
      <c r="BN54" s="581"/>
      <c r="BO54" s="581"/>
      <c r="BP54" s="581"/>
      <c r="BQ54" s="581"/>
      <c r="BR54" s="581"/>
      <c r="BS54" s="581"/>
      <c r="BT54" s="581"/>
      <c r="BU54" s="581"/>
      <c r="BV54" s="581"/>
      <c r="BW54" s="581"/>
      <c r="BX54" s="581"/>
      <c r="BY54" s="581"/>
      <c r="BZ54" s="581"/>
      <c r="CA54" s="581"/>
      <c r="CB54" s="581"/>
      <c r="CC54" s="581"/>
      <c r="CD54" s="581"/>
      <c r="CE54" s="581"/>
      <c r="CF54" s="581"/>
      <c r="CG54" s="581"/>
      <c r="CH54" s="581"/>
      <c r="CI54" s="581"/>
      <c r="CJ54" s="581"/>
      <c r="CK54" s="581"/>
      <c r="CL54" s="581"/>
      <c r="CM54" s="581"/>
      <c r="CN54" s="581"/>
      <c r="CO54" s="581"/>
      <c r="CP54" s="581"/>
      <c r="CQ54" s="581"/>
      <c r="CR54" s="581"/>
      <c r="CS54" s="581"/>
      <c r="CT54" s="581"/>
      <c r="CU54" s="581"/>
      <c r="CV54" s="581"/>
      <c r="CW54" s="581"/>
      <c r="CX54" s="581"/>
      <c r="CY54" s="581"/>
      <c r="CZ54" s="581"/>
      <c r="DA54" s="581"/>
      <c r="DB54" s="581"/>
      <c r="DC54" s="581"/>
      <c r="DD54" s="581"/>
      <c r="DE54" s="581"/>
      <c r="DF54" s="582"/>
      <c r="DG54" s="581"/>
      <c r="DH54" s="581"/>
      <c r="DI54" s="581"/>
      <c r="DJ54" s="582"/>
      <c r="DK54" s="581"/>
      <c r="DL54" s="581"/>
      <c r="DM54" s="581"/>
      <c r="DN54" s="581"/>
      <c r="DO54" s="582"/>
      <c r="DP54" s="581"/>
      <c r="DQ54" s="581"/>
      <c r="DR54" s="581"/>
      <c r="DS54" s="582"/>
      <c r="DT54" s="581"/>
      <c r="DU54" s="581"/>
      <c r="DV54" s="581"/>
      <c r="DW54" s="581"/>
      <c r="DX54" s="582"/>
      <c r="DY54" s="581"/>
      <c r="DZ54" s="581"/>
      <c r="EA54" s="581"/>
      <c r="EB54" s="581"/>
      <c r="EC54" s="581"/>
      <c r="ED54" s="581"/>
      <c r="EE54" s="581"/>
      <c r="EF54" s="581"/>
      <c r="EG54" s="581"/>
      <c r="EH54" s="581"/>
      <c r="EI54" s="581"/>
      <c r="EJ54" s="581"/>
      <c r="EK54" s="581"/>
      <c r="EL54" s="581"/>
    </row>
    <row r="55" spans="1:142" s="590" customFormat="1" ht="49.5" customHeight="1">
      <c r="A55" s="592"/>
      <c r="B55" s="862"/>
      <c r="C55" s="530" t="s">
        <v>978</v>
      </c>
      <c r="D55" s="528"/>
      <c r="E55" s="577"/>
      <c r="F55" s="543" t="s">
        <v>977</v>
      </c>
      <c r="G55" s="595">
        <v>110</v>
      </c>
      <c r="H55" s="595"/>
      <c r="I55" s="548"/>
      <c r="J55" s="548"/>
      <c r="K55" s="548">
        <f t="shared" si="35"/>
        <v>98.513942227416933</v>
      </c>
      <c r="L55" s="548">
        <f>90/1.13</f>
        <v>79.646017699115049</v>
      </c>
      <c r="M55" s="548"/>
      <c r="N55" s="549"/>
      <c r="P55" s="548">
        <f>20/1.06</f>
        <v>18.867924528301884</v>
      </c>
      <c r="Q55" s="548">
        <f t="shared" si="36"/>
        <v>42.074027383536489</v>
      </c>
      <c r="R55" s="549">
        <f>42.432/1.13</f>
        <v>37.550442477876111</v>
      </c>
      <c r="S55" s="548"/>
      <c r="T55" s="549"/>
      <c r="V55" s="549">
        <f>4.795/1.06</f>
        <v>4.5235849056603774</v>
      </c>
      <c r="W55" s="548">
        <f t="shared" si="37"/>
        <v>56.439914843880445</v>
      </c>
      <c r="X55" s="578"/>
      <c r="Y55" s="579"/>
      <c r="Z55" s="579"/>
      <c r="AA55" s="579"/>
      <c r="AB55" s="579"/>
      <c r="AC55" s="579"/>
      <c r="AD55" s="579"/>
      <c r="AE55" s="579"/>
      <c r="AF55" s="580"/>
      <c r="AG55" s="580"/>
      <c r="AH55" s="580"/>
      <c r="AI55" s="581"/>
      <c r="AJ55" s="581"/>
      <c r="AK55" s="581"/>
      <c r="AL55" s="581"/>
      <c r="AM55" s="581"/>
      <c r="AN55" s="581"/>
      <c r="AO55" s="581"/>
      <c r="AP55" s="581"/>
      <c r="AQ55" s="581"/>
      <c r="AR55" s="581"/>
      <c r="AS55" s="581"/>
      <c r="AT55" s="581"/>
      <c r="AU55" s="581"/>
      <c r="AV55" s="581"/>
      <c r="AW55" s="581"/>
      <c r="AX55" s="581"/>
      <c r="AY55" s="581"/>
      <c r="AZ55" s="581"/>
      <c r="BA55" s="581"/>
      <c r="BB55" s="581"/>
      <c r="BC55" s="581"/>
      <c r="BD55" s="581"/>
      <c r="BE55" s="581"/>
      <c r="BF55" s="581"/>
      <c r="BG55" s="581"/>
      <c r="BH55" s="581"/>
      <c r="BI55" s="581"/>
      <c r="BJ55" s="581"/>
      <c r="BK55" s="581"/>
      <c r="BL55" s="581"/>
      <c r="BM55" s="581"/>
      <c r="BN55" s="581"/>
      <c r="BO55" s="581"/>
      <c r="BP55" s="581"/>
      <c r="BQ55" s="581"/>
      <c r="BR55" s="581"/>
      <c r="BS55" s="581"/>
      <c r="BT55" s="581"/>
      <c r="BU55" s="581"/>
      <c r="BV55" s="581"/>
      <c r="BW55" s="581"/>
      <c r="BX55" s="581"/>
      <c r="BY55" s="581"/>
      <c r="BZ55" s="581"/>
      <c r="CA55" s="581"/>
      <c r="CB55" s="581"/>
      <c r="CC55" s="581"/>
      <c r="CD55" s="581"/>
      <c r="CE55" s="581"/>
      <c r="CF55" s="581"/>
      <c r="CG55" s="581"/>
      <c r="CH55" s="581"/>
      <c r="CI55" s="581"/>
      <c r="CJ55" s="581"/>
      <c r="CK55" s="581"/>
      <c r="CL55" s="581"/>
      <c r="CM55" s="581"/>
      <c r="CN55" s="581"/>
      <c r="CO55" s="581"/>
      <c r="CP55" s="581"/>
      <c r="CQ55" s="581"/>
      <c r="CR55" s="581"/>
      <c r="CS55" s="581"/>
      <c r="CT55" s="581"/>
      <c r="CU55" s="581"/>
      <c r="CV55" s="581"/>
      <c r="CW55" s="581"/>
      <c r="CX55" s="581"/>
      <c r="CY55" s="581"/>
      <c r="CZ55" s="581"/>
      <c r="DA55" s="581"/>
      <c r="DB55" s="581"/>
      <c r="DC55" s="581"/>
      <c r="DD55" s="581"/>
      <c r="DE55" s="581"/>
      <c r="DF55" s="582"/>
      <c r="DG55" s="581"/>
      <c r="DH55" s="581"/>
      <c r="DI55" s="581"/>
      <c r="DJ55" s="582"/>
      <c r="DK55" s="581"/>
      <c r="DL55" s="581"/>
      <c r="DM55" s="581"/>
      <c r="DN55" s="581"/>
      <c r="DO55" s="582"/>
      <c r="DP55" s="581"/>
      <c r="DQ55" s="581"/>
      <c r="DR55" s="581"/>
      <c r="DS55" s="582"/>
      <c r="DT55" s="581"/>
      <c r="DU55" s="581"/>
      <c r="DV55" s="581"/>
      <c r="DW55" s="581"/>
      <c r="DX55" s="582"/>
      <c r="DY55" s="581"/>
      <c r="DZ55" s="581"/>
      <c r="EA55" s="581"/>
      <c r="EB55" s="581"/>
      <c r="EC55" s="581"/>
      <c r="ED55" s="581"/>
      <c r="EE55" s="581"/>
      <c r="EF55" s="581"/>
      <c r="EG55" s="581"/>
      <c r="EH55" s="581"/>
      <c r="EI55" s="581"/>
      <c r="EJ55" s="581"/>
      <c r="EK55" s="581"/>
      <c r="EL55" s="581"/>
    </row>
    <row r="56" spans="1:142" s="590" customFormat="1" ht="49.5" customHeight="1">
      <c r="A56" s="592"/>
      <c r="B56" s="862"/>
      <c r="C56" s="530" t="s">
        <v>979</v>
      </c>
      <c r="D56" s="528"/>
      <c r="E56" s="577"/>
      <c r="F56" s="543" t="s">
        <v>977</v>
      </c>
      <c r="G56" s="595">
        <v>110</v>
      </c>
      <c r="H56" s="595"/>
      <c r="I56" s="548"/>
      <c r="J56" s="548"/>
      <c r="K56" s="548">
        <f t="shared" si="35"/>
        <v>98.513942227416933</v>
      </c>
      <c r="L56" s="548">
        <f>90/1.13</f>
        <v>79.646017699115049</v>
      </c>
      <c r="M56" s="548"/>
      <c r="N56" s="549"/>
      <c r="P56" s="548">
        <f>20/1.06</f>
        <v>18.867924528301884</v>
      </c>
      <c r="Q56" s="548">
        <f t="shared" si="36"/>
        <v>42.074027383536489</v>
      </c>
      <c r="R56" s="549">
        <f>42.432/1.13</f>
        <v>37.550442477876111</v>
      </c>
      <c r="S56" s="548"/>
      <c r="T56" s="549"/>
      <c r="V56" s="549">
        <f>4.795/1.06</f>
        <v>4.5235849056603774</v>
      </c>
      <c r="W56" s="548">
        <f t="shared" si="37"/>
        <v>56.439914843880445</v>
      </c>
      <c r="X56" s="578"/>
      <c r="Y56" s="579"/>
      <c r="Z56" s="579"/>
      <c r="AA56" s="579"/>
      <c r="AB56" s="579"/>
      <c r="AC56" s="579"/>
      <c r="AD56" s="579"/>
      <c r="AE56" s="579"/>
      <c r="AF56" s="580"/>
      <c r="AG56" s="580"/>
      <c r="AH56" s="580"/>
      <c r="AI56" s="581"/>
      <c r="AJ56" s="581"/>
      <c r="AK56" s="581"/>
      <c r="AL56" s="581"/>
      <c r="AM56" s="581"/>
      <c r="AN56" s="581"/>
      <c r="AO56" s="581"/>
      <c r="AP56" s="581"/>
      <c r="AQ56" s="581"/>
      <c r="AR56" s="581"/>
      <c r="AS56" s="581"/>
      <c r="AT56" s="581"/>
      <c r="AU56" s="581"/>
      <c r="AV56" s="581"/>
      <c r="AW56" s="581"/>
      <c r="AX56" s="581"/>
      <c r="AY56" s="581"/>
      <c r="AZ56" s="581"/>
      <c r="BA56" s="581"/>
      <c r="BB56" s="581"/>
      <c r="BC56" s="581"/>
      <c r="BD56" s="581"/>
      <c r="BE56" s="581"/>
      <c r="BF56" s="581"/>
      <c r="BG56" s="581"/>
      <c r="BH56" s="581"/>
      <c r="BI56" s="581"/>
      <c r="BJ56" s="581"/>
      <c r="BK56" s="581"/>
      <c r="BL56" s="581"/>
      <c r="BM56" s="581"/>
      <c r="BN56" s="581"/>
      <c r="BO56" s="581"/>
      <c r="BP56" s="581"/>
      <c r="BQ56" s="581"/>
      <c r="BR56" s="581"/>
      <c r="BS56" s="581"/>
      <c r="BT56" s="581"/>
      <c r="BU56" s="581"/>
      <c r="BV56" s="581"/>
      <c r="BW56" s="581"/>
      <c r="BX56" s="581"/>
      <c r="BY56" s="581"/>
      <c r="BZ56" s="581"/>
      <c r="CA56" s="581"/>
      <c r="CB56" s="581"/>
      <c r="CC56" s="581"/>
      <c r="CD56" s="581"/>
      <c r="CE56" s="581"/>
      <c r="CF56" s="581"/>
      <c r="CG56" s="581"/>
      <c r="CH56" s="581"/>
      <c r="CI56" s="581"/>
      <c r="CJ56" s="581"/>
      <c r="CK56" s="581"/>
      <c r="CL56" s="581"/>
      <c r="CM56" s="581"/>
      <c r="CN56" s="581"/>
      <c r="CO56" s="581"/>
      <c r="CP56" s="581"/>
      <c r="CQ56" s="581"/>
      <c r="CR56" s="581"/>
      <c r="CS56" s="581"/>
      <c r="CT56" s="581"/>
      <c r="CU56" s="581"/>
      <c r="CV56" s="581"/>
      <c r="CW56" s="581"/>
      <c r="CX56" s="581"/>
      <c r="CY56" s="581"/>
      <c r="CZ56" s="581"/>
      <c r="DA56" s="581"/>
      <c r="DB56" s="581"/>
      <c r="DC56" s="581"/>
      <c r="DD56" s="581"/>
      <c r="DE56" s="581"/>
      <c r="DF56" s="582"/>
      <c r="DG56" s="581"/>
      <c r="DH56" s="581"/>
      <c r="DI56" s="581"/>
      <c r="DJ56" s="582"/>
      <c r="DK56" s="581"/>
      <c r="DL56" s="581"/>
      <c r="DM56" s="581"/>
      <c r="DN56" s="581"/>
      <c r="DO56" s="582"/>
      <c r="DP56" s="581"/>
      <c r="DQ56" s="581"/>
      <c r="DR56" s="581"/>
      <c r="DS56" s="582"/>
      <c r="DT56" s="581"/>
      <c r="DU56" s="581"/>
      <c r="DV56" s="581"/>
      <c r="DW56" s="581"/>
      <c r="DX56" s="582"/>
      <c r="DY56" s="581"/>
      <c r="DZ56" s="581"/>
      <c r="EA56" s="581"/>
      <c r="EB56" s="581"/>
      <c r="EC56" s="581"/>
      <c r="ED56" s="581"/>
      <c r="EE56" s="581"/>
      <c r="EF56" s="581"/>
      <c r="EG56" s="581"/>
      <c r="EH56" s="581"/>
      <c r="EI56" s="581"/>
      <c r="EJ56" s="581"/>
      <c r="EK56" s="581"/>
      <c r="EL56" s="581"/>
    </row>
    <row r="57" spans="1:142" s="590" customFormat="1" ht="35.25" customHeight="1">
      <c r="A57" s="576">
        <v>9</v>
      </c>
      <c r="B57" s="807"/>
      <c r="C57" s="530" t="s">
        <v>980</v>
      </c>
      <c r="D57" s="528"/>
      <c r="E57" s="577"/>
      <c r="F57" s="543" t="s">
        <v>977</v>
      </c>
      <c r="G57" s="549">
        <v>660</v>
      </c>
      <c r="H57" s="549"/>
      <c r="I57" s="548"/>
      <c r="J57" s="548"/>
      <c r="K57" s="596">
        <f t="shared" si="35"/>
        <v>591.08365336450163</v>
      </c>
      <c r="L57" s="548">
        <f>540/1.13</f>
        <v>477.87610619469029</v>
      </c>
      <c r="M57" s="548"/>
      <c r="N57" s="549"/>
      <c r="P57" s="548">
        <f>120/1.06</f>
        <v>113.20754716981132</v>
      </c>
      <c r="Q57" s="548">
        <f t="shared" si="36"/>
        <v>252.44416430121893</v>
      </c>
      <c r="R57" s="549">
        <f>42.432*6/1.13</f>
        <v>225.30265486725668</v>
      </c>
      <c r="S57" s="548"/>
      <c r="T57" s="549"/>
      <c r="V57" s="549">
        <f>4.795*6/1.06</f>
        <v>27.141509433962263</v>
      </c>
      <c r="W57" s="548">
        <f t="shared" si="37"/>
        <v>338.63948906328267</v>
      </c>
      <c r="X57" s="578"/>
      <c r="Y57" s="548"/>
      <c r="Z57" s="579"/>
      <c r="AA57" s="579"/>
      <c r="AB57" s="579"/>
      <c r="AC57" s="579"/>
      <c r="AD57" s="579"/>
      <c r="AE57" s="579"/>
      <c r="AF57" s="580"/>
      <c r="AG57" s="580"/>
      <c r="AH57" s="580"/>
      <c r="AI57" s="581"/>
      <c r="AJ57" s="581"/>
      <c r="AK57" s="581"/>
      <c r="AL57" s="581"/>
      <c r="AM57" s="581"/>
      <c r="AN57" s="581"/>
      <c r="AO57" s="581"/>
      <c r="AP57" s="581"/>
      <c r="AQ57" s="581"/>
      <c r="AR57" s="581"/>
      <c r="AS57" s="581"/>
      <c r="AT57" s="581"/>
      <c r="AU57" s="581"/>
      <c r="AV57" s="581"/>
      <c r="AW57" s="581"/>
      <c r="AX57" s="581"/>
      <c r="AY57" s="581"/>
      <c r="AZ57" s="581"/>
      <c r="BA57" s="581"/>
      <c r="BB57" s="581"/>
      <c r="BC57" s="581"/>
      <c r="BD57" s="581"/>
      <c r="BE57" s="581"/>
      <c r="BF57" s="581"/>
      <c r="BG57" s="581"/>
      <c r="BH57" s="581"/>
      <c r="BI57" s="581"/>
      <c r="BJ57" s="581"/>
      <c r="BK57" s="581"/>
      <c r="BL57" s="581"/>
      <c r="BM57" s="581"/>
      <c r="BN57" s="581"/>
      <c r="BO57" s="581"/>
      <c r="BP57" s="581"/>
      <c r="BQ57" s="581"/>
      <c r="BR57" s="581"/>
      <c r="BS57" s="581"/>
      <c r="BT57" s="581"/>
      <c r="BU57" s="581"/>
      <c r="BV57" s="581"/>
      <c r="BW57" s="581"/>
      <c r="BX57" s="581"/>
      <c r="BY57" s="581"/>
      <c r="BZ57" s="581"/>
      <c r="CA57" s="581"/>
      <c r="CB57" s="581"/>
      <c r="CC57" s="581"/>
      <c r="CD57" s="581"/>
      <c r="CE57" s="581"/>
      <c r="CF57" s="581"/>
      <c r="CG57" s="581"/>
      <c r="CH57" s="581"/>
      <c r="CI57" s="581"/>
      <c r="CJ57" s="581"/>
      <c r="CK57" s="581"/>
      <c r="CL57" s="581"/>
      <c r="CM57" s="581"/>
      <c r="CN57" s="581"/>
      <c r="CO57" s="581"/>
      <c r="CP57" s="581"/>
      <c r="CQ57" s="581"/>
      <c r="CR57" s="581"/>
      <c r="CS57" s="581"/>
      <c r="CT57" s="581"/>
      <c r="CU57" s="581"/>
      <c r="CV57" s="581"/>
      <c r="CW57" s="581"/>
      <c r="CX57" s="581"/>
      <c r="CY57" s="581"/>
      <c r="CZ57" s="581"/>
      <c r="DA57" s="581"/>
      <c r="DB57" s="581"/>
      <c r="DC57" s="581"/>
      <c r="DD57" s="581"/>
      <c r="DE57" s="581"/>
      <c r="DF57" s="582"/>
      <c r="DG57" s="581"/>
      <c r="DH57" s="581"/>
      <c r="DI57" s="581"/>
      <c r="DJ57" s="582"/>
      <c r="DK57" s="581"/>
      <c r="DL57" s="581"/>
      <c r="DM57" s="581"/>
      <c r="DN57" s="581"/>
      <c r="DO57" s="582"/>
      <c r="DP57" s="581"/>
      <c r="DQ57" s="581"/>
      <c r="DR57" s="581"/>
      <c r="DS57" s="582"/>
      <c r="DT57" s="581"/>
      <c r="DU57" s="581"/>
      <c r="DV57" s="581"/>
      <c r="DW57" s="581"/>
      <c r="DX57" s="582"/>
      <c r="DY57" s="581"/>
      <c r="DZ57" s="581"/>
      <c r="EA57" s="581"/>
      <c r="EB57" s="581"/>
      <c r="EC57" s="581"/>
      <c r="ED57" s="581"/>
      <c r="EE57" s="581"/>
      <c r="EF57" s="581"/>
      <c r="EG57" s="581"/>
      <c r="EH57" s="581"/>
      <c r="EI57" s="581"/>
      <c r="EJ57" s="581"/>
      <c r="EK57" s="581"/>
      <c r="EL57" s="581"/>
    </row>
    <row r="58" spans="1:142" s="590" customFormat="1" ht="45.75" customHeight="1">
      <c r="A58" s="576">
        <v>10</v>
      </c>
      <c r="B58" s="807"/>
      <c r="C58" s="530" t="s">
        <v>981</v>
      </c>
      <c r="D58" s="528"/>
      <c r="E58" s="577"/>
      <c r="F58" s="543" t="s">
        <v>977</v>
      </c>
      <c r="G58" s="549">
        <v>110</v>
      </c>
      <c r="H58" s="549"/>
      <c r="I58" s="548"/>
      <c r="J58" s="548"/>
      <c r="K58" s="548">
        <f t="shared" si="35"/>
        <v>98.513942227416933</v>
      </c>
      <c r="L58" s="548">
        <f>90/1.13</f>
        <v>79.646017699115049</v>
      </c>
      <c r="M58" s="548"/>
      <c r="N58" s="549"/>
      <c r="P58" s="548">
        <f>20/1.06</f>
        <v>18.867924528301884</v>
      </c>
      <c r="Q58" s="548">
        <f t="shared" si="36"/>
        <v>42.074027383536489</v>
      </c>
      <c r="R58" s="549">
        <f>42.432/1.13</f>
        <v>37.550442477876111</v>
      </c>
      <c r="S58" s="548"/>
      <c r="T58" s="549"/>
      <c r="V58" s="549">
        <f>4.795/1.06</f>
        <v>4.5235849056603774</v>
      </c>
      <c r="W58" s="548">
        <f t="shared" si="37"/>
        <v>56.439914843880445</v>
      </c>
      <c r="X58" s="578"/>
      <c r="Y58" s="548"/>
      <c r="Z58" s="579"/>
      <c r="AA58" s="579"/>
      <c r="AB58" s="579"/>
      <c r="AC58" s="579"/>
      <c r="AD58" s="579"/>
      <c r="AE58" s="579"/>
      <c r="AF58" s="580"/>
      <c r="AG58" s="580"/>
      <c r="AH58" s="580"/>
      <c r="AI58" s="581"/>
      <c r="AJ58" s="581"/>
      <c r="AK58" s="581"/>
      <c r="AL58" s="581"/>
      <c r="AM58" s="581"/>
      <c r="AN58" s="581"/>
      <c r="AO58" s="581"/>
      <c r="AP58" s="581"/>
      <c r="AQ58" s="581"/>
      <c r="AR58" s="581"/>
      <c r="AS58" s="581"/>
      <c r="AT58" s="581"/>
      <c r="AU58" s="581"/>
      <c r="AV58" s="581"/>
      <c r="AW58" s="581"/>
      <c r="AX58" s="581"/>
      <c r="AY58" s="581"/>
      <c r="AZ58" s="581"/>
      <c r="BA58" s="581"/>
      <c r="BB58" s="581"/>
      <c r="BC58" s="581"/>
      <c r="BD58" s="581"/>
      <c r="BE58" s="581"/>
      <c r="BF58" s="581"/>
      <c r="BG58" s="581"/>
      <c r="BH58" s="581"/>
      <c r="BI58" s="581"/>
      <c r="BJ58" s="581"/>
      <c r="BK58" s="581"/>
      <c r="BL58" s="581"/>
      <c r="BM58" s="581"/>
      <c r="BN58" s="581"/>
      <c r="BO58" s="581"/>
      <c r="BP58" s="581"/>
      <c r="BQ58" s="581"/>
      <c r="BR58" s="581"/>
      <c r="BS58" s="581"/>
      <c r="BT58" s="581"/>
      <c r="BU58" s="581"/>
      <c r="BV58" s="581"/>
      <c r="BW58" s="581"/>
      <c r="BX58" s="581"/>
      <c r="BY58" s="581"/>
      <c r="BZ58" s="581"/>
      <c r="CA58" s="581"/>
      <c r="CB58" s="581"/>
      <c r="CC58" s="581"/>
      <c r="CD58" s="581"/>
      <c r="CE58" s="581"/>
      <c r="CF58" s="581"/>
      <c r="CG58" s="581"/>
      <c r="CH58" s="581"/>
      <c r="CI58" s="581"/>
      <c r="CJ58" s="581"/>
      <c r="CK58" s="581"/>
      <c r="CL58" s="581"/>
      <c r="CM58" s="581"/>
      <c r="CN58" s="581"/>
      <c r="CO58" s="581"/>
      <c r="CP58" s="581"/>
      <c r="CQ58" s="581"/>
      <c r="CR58" s="581"/>
      <c r="CS58" s="581"/>
      <c r="CT58" s="581"/>
      <c r="CU58" s="581"/>
      <c r="CV58" s="581"/>
      <c r="CW58" s="581"/>
      <c r="CX58" s="581"/>
      <c r="CY58" s="581"/>
      <c r="CZ58" s="581"/>
      <c r="DA58" s="581"/>
      <c r="DB58" s="581"/>
      <c r="DC58" s="581"/>
      <c r="DD58" s="581"/>
      <c r="DE58" s="581"/>
      <c r="DF58" s="582"/>
      <c r="DG58" s="581"/>
      <c r="DH58" s="581"/>
      <c r="DI58" s="581"/>
      <c r="DJ58" s="582"/>
      <c r="DK58" s="581"/>
      <c r="DL58" s="581"/>
      <c r="DM58" s="581"/>
      <c r="DN58" s="581"/>
      <c r="DO58" s="582"/>
      <c r="DP58" s="581"/>
      <c r="DQ58" s="581"/>
      <c r="DR58" s="581"/>
      <c r="DS58" s="582"/>
      <c r="DT58" s="581"/>
      <c r="DU58" s="581"/>
      <c r="DV58" s="581"/>
      <c r="DW58" s="581"/>
      <c r="DX58" s="582"/>
      <c r="DY58" s="581"/>
      <c r="DZ58" s="581"/>
      <c r="EA58" s="581"/>
      <c r="EB58" s="581"/>
      <c r="EC58" s="581"/>
      <c r="ED58" s="581"/>
      <c r="EE58" s="581"/>
      <c r="EF58" s="581"/>
      <c r="EG58" s="581"/>
      <c r="EH58" s="581"/>
      <c r="EI58" s="581"/>
      <c r="EJ58" s="581"/>
      <c r="EK58" s="581"/>
      <c r="EL58" s="581"/>
    </row>
    <row r="59" spans="1:142" s="590" customFormat="1" ht="39.75" customHeight="1">
      <c r="A59" s="576">
        <v>11</v>
      </c>
      <c r="B59" s="807"/>
      <c r="C59" s="528" t="s">
        <v>982</v>
      </c>
      <c r="D59" s="528"/>
      <c r="E59" s="577"/>
      <c r="F59" s="543" t="s">
        <v>977</v>
      </c>
      <c r="G59" s="549">
        <v>220</v>
      </c>
      <c r="H59" s="549"/>
      <c r="I59" s="548"/>
      <c r="J59" s="548"/>
      <c r="K59" s="548">
        <f t="shared" si="35"/>
        <v>197.02788445483387</v>
      </c>
      <c r="L59" s="548">
        <f>180/1.13</f>
        <v>159.2920353982301</v>
      </c>
      <c r="M59" s="548"/>
      <c r="N59" s="549"/>
      <c r="P59" s="548">
        <f>40/1.06</f>
        <v>37.735849056603769</v>
      </c>
      <c r="Q59" s="548">
        <f t="shared" si="36"/>
        <v>84.148054767072978</v>
      </c>
      <c r="R59" s="549">
        <f>42.432*2/1.13</f>
        <v>75.100884955752221</v>
      </c>
      <c r="S59" s="548"/>
      <c r="T59" s="549"/>
      <c r="V59" s="549">
        <f>4.795*2/1.06</f>
        <v>9.0471698113207548</v>
      </c>
      <c r="W59" s="548">
        <f t="shared" si="37"/>
        <v>112.87982968776089</v>
      </c>
      <c r="X59" s="578"/>
      <c r="Y59" s="548"/>
      <c r="Z59" s="579"/>
      <c r="AA59" s="579"/>
      <c r="AB59" s="579"/>
      <c r="AC59" s="579"/>
      <c r="AD59" s="579"/>
      <c r="AE59" s="579"/>
      <c r="AF59" s="580"/>
      <c r="AG59" s="580"/>
      <c r="AH59" s="580"/>
      <c r="AI59" s="581"/>
      <c r="AJ59" s="581"/>
      <c r="AK59" s="581"/>
      <c r="AL59" s="581"/>
      <c r="AM59" s="581"/>
      <c r="AN59" s="581"/>
      <c r="AO59" s="581"/>
      <c r="AP59" s="581"/>
      <c r="AQ59" s="581"/>
      <c r="AR59" s="581"/>
      <c r="AS59" s="581"/>
      <c r="AT59" s="581"/>
      <c r="AU59" s="581"/>
      <c r="AV59" s="581"/>
      <c r="AW59" s="581"/>
      <c r="AX59" s="581"/>
      <c r="AY59" s="581"/>
      <c r="AZ59" s="581"/>
      <c r="BA59" s="581"/>
      <c r="BB59" s="581"/>
      <c r="BC59" s="581"/>
      <c r="BD59" s="581"/>
      <c r="BE59" s="581"/>
      <c r="BF59" s="581"/>
      <c r="BG59" s="581"/>
      <c r="BH59" s="581"/>
      <c r="BI59" s="581"/>
      <c r="BJ59" s="581"/>
      <c r="BK59" s="581"/>
      <c r="BL59" s="581"/>
      <c r="BM59" s="581"/>
      <c r="BN59" s="581"/>
      <c r="BO59" s="581"/>
      <c r="BP59" s="581"/>
      <c r="BQ59" s="581"/>
      <c r="BR59" s="581"/>
      <c r="BS59" s="581"/>
      <c r="BT59" s="581"/>
      <c r="BU59" s="581"/>
      <c r="BV59" s="581"/>
      <c r="BW59" s="581"/>
      <c r="BX59" s="581"/>
      <c r="BY59" s="581"/>
      <c r="BZ59" s="581"/>
      <c r="CA59" s="581"/>
      <c r="CB59" s="581"/>
      <c r="CC59" s="581"/>
      <c r="CD59" s="581"/>
      <c r="CE59" s="581"/>
      <c r="CF59" s="581"/>
      <c r="CG59" s="581"/>
      <c r="CH59" s="581"/>
      <c r="CI59" s="581"/>
      <c r="CJ59" s="581"/>
      <c r="CK59" s="581"/>
      <c r="CL59" s="581"/>
      <c r="CM59" s="581"/>
      <c r="CN59" s="581"/>
      <c r="CO59" s="581"/>
      <c r="CP59" s="581"/>
      <c r="CQ59" s="581"/>
      <c r="CR59" s="581"/>
      <c r="CS59" s="581"/>
      <c r="CT59" s="581"/>
      <c r="CU59" s="581"/>
      <c r="CV59" s="581"/>
      <c r="CW59" s="581"/>
      <c r="CX59" s="581"/>
      <c r="CY59" s="581"/>
      <c r="CZ59" s="581"/>
      <c r="DA59" s="581"/>
      <c r="DB59" s="581"/>
      <c r="DC59" s="581"/>
      <c r="DD59" s="581"/>
      <c r="DE59" s="581"/>
      <c r="DF59" s="582"/>
      <c r="DG59" s="581"/>
      <c r="DH59" s="581"/>
      <c r="DI59" s="581"/>
      <c r="DJ59" s="582"/>
      <c r="DK59" s="581"/>
      <c r="DL59" s="581"/>
      <c r="DM59" s="581"/>
      <c r="DN59" s="581"/>
      <c r="DO59" s="582"/>
      <c r="DP59" s="581"/>
      <c r="DQ59" s="581"/>
      <c r="DR59" s="581"/>
      <c r="DS59" s="582"/>
      <c r="DT59" s="581"/>
      <c r="DU59" s="581"/>
      <c r="DV59" s="581"/>
      <c r="DW59" s="581"/>
      <c r="DX59" s="582"/>
      <c r="DY59" s="581"/>
      <c r="DZ59" s="581"/>
      <c r="EA59" s="581"/>
      <c r="EB59" s="581"/>
      <c r="EC59" s="581"/>
      <c r="ED59" s="581"/>
      <c r="EE59" s="581"/>
      <c r="EF59" s="581"/>
      <c r="EG59" s="581"/>
      <c r="EH59" s="581"/>
      <c r="EI59" s="581"/>
      <c r="EJ59" s="581"/>
      <c r="EK59" s="581"/>
      <c r="EL59" s="581"/>
    </row>
    <row r="60" spans="1:142" s="590" customFormat="1" ht="39.75" customHeight="1">
      <c r="A60" s="576">
        <v>12</v>
      </c>
      <c r="B60" s="807"/>
      <c r="C60" s="528" t="s">
        <v>983</v>
      </c>
      <c r="D60" s="528"/>
      <c r="E60" s="577"/>
      <c r="F60" s="543" t="s">
        <v>977</v>
      </c>
      <c r="G60" s="549">
        <v>110</v>
      </c>
      <c r="H60" s="549"/>
      <c r="I60" s="548"/>
      <c r="J60" s="548"/>
      <c r="K60" s="548">
        <f t="shared" si="35"/>
        <v>98.513942227416933</v>
      </c>
      <c r="L60" s="548">
        <f>90/1.13</f>
        <v>79.646017699115049</v>
      </c>
      <c r="M60" s="548"/>
      <c r="N60" s="549"/>
      <c r="P60" s="548">
        <f>20/1.06</f>
        <v>18.867924528301884</v>
      </c>
      <c r="Q60" s="548">
        <f t="shared" si="36"/>
        <v>42.074027383536489</v>
      </c>
      <c r="R60" s="549">
        <f>42.432/1.13</f>
        <v>37.550442477876111</v>
      </c>
      <c r="S60" s="548"/>
      <c r="T60" s="549"/>
      <c r="V60" s="549">
        <f>4.795/1.06</f>
        <v>4.5235849056603774</v>
      </c>
      <c r="W60" s="548">
        <f t="shared" si="37"/>
        <v>56.439914843880445</v>
      </c>
      <c r="X60" s="578"/>
      <c r="Y60" s="548"/>
      <c r="Z60" s="579"/>
      <c r="AA60" s="579"/>
      <c r="AB60" s="579"/>
      <c r="AC60" s="579"/>
      <c r="AD60" s="579"/>
      <c r="AE60" s="579"/>
      <c r="AF60" s="580"/>
      <c r="AG60" s="580"/>
      <c r="AH60" s="580"/>
      <c r="AI60" s="581"/>
      <c r="AJ60" s="581"/>
      <c r="AK60" s="581"/>
      <c r="AL60" s="581"/>
      <c r="AM60" s="581"/>
      <c r="AN60" s="581"/>
      <c r="AO60" s="581"/>
      <c r="AP60" s="581"/>
      <c r="AQ60" s="581"/>
      <c r="AR60" s="581"/>
      <c r="AS60" s="581"/>
      <c r="AT60" s="581"/>
      <c r="AU60" s="581"/>
      <c r="AV60" s="581"/>
      <c r="AW60" s="581"/>
      <c r="AX60" s="581"/>
      <c r="AY60" s="581"/>
      <c r="AZ60" s="581"/>
      <c r="BA60" s="581"/>
      <c r="BB60" s="581"/>
      <c r="BC60" s="581"/>
      <c r="BD60" s="581"/>
      <c r="BE60" s="581"/>
      <c r="BF60" s="581"/>
      <c r="BG60" s="581"/>
      <c r="BH60" s="581"/>
      <c r="BI60" s="581"/>
      <c r="BJ60" s="581"/>
      <c r="BK60" s="581"/>
      <c r="BL60" s="581"/>
      <c r="BM60" s="581"/>
      <c r="BN60" s="581"/>
      <c r="BO60" s="581"/>
      <c r="BP60" s="581"/>
      <c r="BQ60" s="581"/>
      <c r="BR60" s="581"/>
      <c r="BS60" s="581"/>
      <c r="BT60" s="581"/>
      <c r="BU60" s="581"/>
      <c r="BV60" s="581"/>
      <c r="BW60" s="581"/>
      <c r="BX60" s="581"/>
      <c r="BY60" s="581"/>
      <c r="BZ60" s="581"/>
      <c r="CA60" s="581"/>
      <c r="CB60" s="581"/>
      <c r="CC60" s="581"/>
      <c r="CD60" s="581"/>
      <c r="CE60" s="581"/>
      <c r="CF60" s="581"/>
      <c r="CG60" s="581"/>
      <c r="CH60" s="581"/>
      <c r="CI60" s="581"/>
      <c r="CJ60" s="581"/>
      <c r="CK60" s="581"/>
      <c r="CL60" s="581"/>
      <c r="CM60" s="581"/>
      <c r="CN60" s="581"/>
      <c r="CO60" s="581"/>
      <c r="CP60" s="581"/>
      <c r="CQ60" s="581"/>
      <c r="CR60" s="581"/>
      <c r="CS60" s="581"/>
      <c r="CT60" s="581"/>
      <c r="CU60" s="581"/>
      <c r="CV60" s="581"/>
      <c r="CW60" s="581"/>
      <c r="CX60" s="581"/>
      <c r="CY60" s="581"/>
      <c r="CZ60" s="581"/>
      <c r="DA60" s="581"/>
      <c r="DB60" s="581"/>
      <c r="DC60" s="581"/>
      <c r="DD60" s="581"/>
      <c r="DE60" s="581"/>
      <c r="DF60" s="582"/>
      <c r="DG60" s="581"/>
      <c r="DH60" s="581"/>
      <c r="DI60" s="581"/>
      <c r="DJ60" s="582"/>
      <c r="DK60" s="581"/>
      <c r="DL60" s="581"/>
      <c r="DM60" s="581"/>
      <c r="DN60" s="581"/>
      <c r="DO60" s="582"/>
      <c r="DP60" s="581"/>
      <c r="DQ60" s="581"/>
      <c r="DR60" s="581"/>
      <c r="DS60" s="582"/>
      <c r="DT60" s="581"/>
      <c r="DU60" s="581"/>
      <c r="DV60" s="581"/>
      <c r="DW60" s="581"/>
      <c r="DX60" s="582"/>
      <c r="DY60" s="581"/>
      <c r="DZ60" s="581"/>
      <c r="EA60" s="581"/>
      <c r="EB60" s="581"/>
      <c r="EC60" s="581"/>
      <c r="ED60" s="581"/>
      <c r="EE60" s="581"/>
      <c r="EF60" s="581"/>
      <c r="EG60" s="581"/>
      <c r="EH60" s="581"/>
      <c r="EI60" s="581"/>
      <c r="EJ60" s="581"/>
      <c r="EK60" s="581"/>
      <c r="EL60" s="581"/>
    </row>
    <row r="61" spans="1:142" s="590" customFormat="1" ht="39.75" customHeight="1">
      <c r="A61" s="576">
        <v>13</v>
      </c>
      <c r="B61" s="807"/>
      <c r="C61" s="528" t="s">
        <v>984</v>
      </c>
      <c r="D61" s="528"/>
      <c r="E61" s="577"/>
      <c r="F61" s="543" t="s">
        <v>977</v>
      </c>
      <c r="G61" s="549">
        <v>770</v>
      </c>
      <c r="H61" s="549"/>
      <c r="I61" s="548"/>
      <c r="J61" s="548"/>
      <c r="K61" s="548">
        <f t="shared" si="35"/>
        <v>689.59759559191855</v>
      </c>
      <c r="L61" s="548">
        <f>630/1.13</f>
        <v>557.52212389380531</v>
      </c>
      <c r="M61" s="548"/>
      <c r="N61" s="549"/>
      <c r="P61" s="548">
        <f>140/1.06</f>
        <v>132.0754716981132</v>
      </c>
      <c r="Q61" s="548">
        <f t="shared" si="36"/>
        <v>294.51819168475538</v>
      </c>
      <c r="R61" s="549">
        <f>42.432*7/1.13</f>
        <v>262.85309734513277</v>
      </c>
      <c r="S61" s="548"/>
      <c r="T61" s="549"/>
      <c r="V61" s="549">
        <f>4.795*7/1.06</f>
        <v>31.665094339622637</v>
      </c>
      <c r="W61" s="548">
        <f t="shared" si="37"/>
        <v>395.07940390716317</v>
      </c>
      <c r="X61" s="578"/>
      <c r="Y61" s="548"/>
      <c r="Z61" s="579"/>
      <c r="AA61" s="579"/>
      <c r="AB61" s="579"/>
      <c r="AC61" s="579"/>
      <c r="AD61" s="579"/>
      <c r="AE61" s="579"/>
      <c r="AF61" s="580"/>
      <c r="AG61" s="580"/>
      <c r="AH61" s="580"/>
      <c r="AI61" s="581"/>
      <c r="AJ61" s="581"/>
      <c r="AK61" s="581"/>
      <c r="AL61" s="581"/>
      <c r="AM61" s="581"/>
      <c r="AN61" s="581"/>
      <c r="AO61" s="581"/>
      <c r="AP61" s="581"/>
      <c r="AQ61" s="581"/>
      <c r="AR61" s="581"/>
      <c r="AS61" s="581"/>
      <c r="AT61" s="581"/>
      <c r="AU61" s="581"/>
      <c r="AV61" s="581"/>
      <c r="AW61" s="581"/>
      <c r="AX61" s="581"/>
      <c r="AY61" s="581"/>
      <c r="AZ61" s="581"/>
      <c r="BA61" s="581"/>
      <c r="BB61" s="581"/>
      <c r="BC61" s="581"/>
      <c r="BD61" s="581"/>
      <c r="BE61" s="581"/>
      <c r="BF61" s="581"/>
      <c r="BG61" s="581"/>
      <c r="BH61" s="581"/>
      <c r="BI61" s="581"/>
      <c r="BJ61" s="581"/>
      <c r="BK61" s="581"/>
      <c r="BL61" s="581"/>
      <c r="BM61" s="581"/>
      <c r="BN61" s="581"/>
      <c r="BO61" s="581"/>
      <c r="BP61" s="581"/>
      <c r="BQ61" s="581"/>
      <c r="BR61" s="581"/>
      <c r="BS61" s="581"/>
      <c r="BT61" s="581"/>
      <c r="BU61" s="581"/>
      <c r="BV61" s="581"/>
      <c r="BW61" s="581"/>
      <c r="BX61" s="581"/>
      <c r="BY61" s="581"/>
      <c r="BZ61" s="581"/>
      <c r="CA61" s="581"/>
      <c r="CB61" s="581"/>
      <c r="CC61" s="581"/>
      <c r="CD61" s="581"/>
      <c r="CE61" s="581"/>
      <c r="CF61" s="581"/>
      <c r="CG61" s="581"/>
      <c r="CH61" s="581"/>
      <c r="CI61" s="581"/>
      <c r="CJ61" s="581"/>
      <c r="CK61" s="581"/>
      <c r="CL61" s="581"/>
      <c r="CM61" s="581"/>
      <c r="CN61" s="581"/>
      <c r="CO61" s="581"/>
      <c r="CP61" s="581"/>
      <c r="CQ61" s="581"/>
      <c r="CR61" s="581"/>
      <c r="CS61" s="581"/>
      <c r="CT61" s="581"/>
      <c r="CU61" s="581"/>
      <c r="CV61" s="581"/>
      <c r="CW61" s="581"/>
      <c r="CX61" s="581"/>
      <c r="CY61" s="581"/>
      <c r="CZ61" s="581"/>
      <c r="DA61" s="581"/>
      <c r="DB61" s="581"/>
      <c r="DC61" s="581"/>
      <c r="DD61" s="581"/>
      <c r="DE61" s="581"/>
      <c r="DF61" s="582"/>
      <c r="DG61" s="581"/>
      <c r="DH61" s="581"/>
      <c r="DI61" s="581"/>
      <c r="DJ61" s="582"/>
      <c r="DK61" s="581"/>
      <c r="DL61" s="581"/>
      <c r="DM61" s="581"/>
      <c r="DN61" s="581"/>
      <c r="DO61" s="582"/>
      <c r="DP61" s="581"/>
      <c r="DQ61" s="581"/>
      <c r="DR61" s="581"/>
      <c r="DS61" s="582"/>
      <c r="DT61" s="581"/>
      <c r="DU61" s="581"/>
      <c r="DV61" s="581"/>
      <c r="DW61" s="581"/>
      <c r="DX61" s="582"/>
      <c r="DY61" s="581"/>
      <c r="DZ61" s="581"/>
      <c r="EA61" s="581"/>
      <c r="EB61" s="581"/>
      <c r="EC61" s="581"/>
      <c r="ED61" s="581"/>
      <c r="EE61" s="581"/>
      <c r="EF61" s="581"/>
      <c r="EG61" s="581"/>
      <c r="EH61" s="581"/>
      <c r="EI61" s="581"/>
      <c r="EJ61" s="581"/>
      <c r="EK61" s="581"/>
      <c r="EL61" s="581"/>
    </row>
    <row r="62" spans="1:142" s="590" customFormat="1" ht="39.75" customHeight="1">
      <c r="A62" s="576">
        <v>14</v>
      </c>
      <c r="B62" s="807"/>
      <c r="C62" s="528" t="s">
        <v>985</v>
      </c>
      <c r="D62" s="528"/>
      <c r="E62" s="577"/>
      <c r="F62" s="543" t="s">
        <v>977</v>
      </c>
      <c r="G62" s="549">
        <v>110</v>
      </c>
      <c r="H62" s="549"/>
      <c r="I62" s="548"/>
      <c r="J62" s="548"/>
      <c r="K62" s="548">
        <f t="shared" si="35"/>
        <v>98.513942227416933</v>
      </c>
      <c r="L62" s="548">
        <f>90/1.13</f>
        <v>79.646017699115049</v>
      </c>
      <c r="M62" s="548"/>
      <c r="N62" s="549"/>
      <c r="P62" s="548">
        <f>20/1.06</f>
        <v>18.867924528301884</v>
      </c>
      <c r="Q62" s="548">
        <f t="shared" si="36"/>
        <v>42.074027383536489</v>
      </c>
      <c r="R62" s="549">
        <f>42.432/1.13</f>
        <v>37.550442477876111</v>
      </c>
      <c r="S62" s="548"/>
      <c r="T62" s="549"/>
      <c r="V62" s="549">
        <f>4.795/1.06</f>
        <v>4.5235849056603774</v>
      </c>
      <c r="W62" s="548">
        <f t="shared" si="37"/>
        <v>56.439914843880445</v>
      </c>
      <c r="X62" s="578"/>
      <c r="Y62" s="548"/>
      <c r="Z62" s="579"/>
      <c r="AA62" s="579"/>
      <c r="AB62" s="579"/>
      <c r="AC62" s="579"/>
      <c r="AD62" s="579"/>
      <c r="AE62" s="579"/>
      <c r="AF62" s="580"/>
      <c r="AG62" s="580"/>
      <c r="AH62" s="580"/>
      <c r="AI62" s="581"/>
      <c r="AJ62" s="581"/>
      <c r="AK62" s="581"/>
      <c r="AL62" s="581"/>
      <c r="AM62" s="581"/>
      <c r="AN62" s="581"/>
      <c r="AO62" s="581"/>
      <c r="AP62" s="581"/>
      <c r="AQ62" s="581"/>
      <c r="AR62" s="581"/>
      <c r="AS62" s="581"/>
      <c r="AT62" s="581"/>
      <c r="AU62" s="581"/>
      <c r="AV62" s="581"/>
      <c r="AW62" s="581"/>
      <c r="AX62" s="581"/>
      <c r="AY62" s="581"/>
      <c r="AZ62" s="581"/>
      <c r="BA62" s="581"/>
      <c r="BB62" s="581"/>
      <c r="BC62" s="581"/>
      <c r="BD62" s="581"/>
      <c r="BE62" s="581"/>
      <c r="BF62" s="581"/>
      <c r="BG62" s="581"/>
      <c r="BH62" s="581"/>
      <c r="BI62" s="581"/>
      <c r="BJ62" s="581"/>
      <c r="BK62" s="581"/>
      <c r="BL62" s="581"/>
      <c r="BM62" s="581"/>
      <c r="BN62" s="581"/>
      <c r="BO62" s="581"/>
      <c r="BP62" s="581"/>
      <c r="BQ62" s="581"/>
      <c r="BR62" s="581"/>
      <c r="BS62" s="581"/>
      <c r="BT62" s="581"/>
      <c r="BU62" s="581"/>
      <c r="BV62" s="581"/>
      <c r="BW62" s="581"/>
      <c r="BX62" s="581"/>
      <c r="BY62" s="581"/>
      <c r="BZ62" s="581"/>
      <c r="CA62" s="581"/>
      <c r="CB62" s="581"/>
      <c r="CC62" s="581"/>
      <c r="CD62" s="581"/>
      <c r="CE62" s="581"/>
      <c r="CF62" s="581"/>
      <c r="CG62" s="581"/>
      <c r="CH62" s="581"/>
      <c r="CI62" s="581"/>
      <c r="CJ62" s="581"/>
      <c r="CK62" s="581"/>
      <c r="CL62" s="581"/>
      <c r="CM62" s="581"/>
      <c r="CN62" s="581"/>
      <c r="CO62" s="581"/>
      <c r="CP62" s="581"/>
      <c r="CQ62" s="581"/>
      <c r="CR62" s="581"/>
      <c r="CS62" s="581"/>
      <c r="CT62" s="581"/>
      <c r="CU62" s="581"/>
      <c r="CV62" s="581"/>
      <c r="CW62" s="581"/>
      <c r="CX62" s="581"/>
      <c r="CY62" s="581"/>
      <c r="CZ62" s="581"/>
      <c r="DA62" s="581"/>
      <c r="DB62" s="581"/>
      <c r="DC62" s="581"/>
      <c r="DD62" s="581"/>
      <c r="DE62" s="581"/>
      <c r="DF62" s="582"/>
      <c r="DG62" s="581"/>
      <c r="DH62" s="581"/>
      <c r="DI62" s="581"/>
      <c r="DJ62" s="582"/>
      <c r="DK62" s="581"/>
      <c r="DL62" s="581"/>
      <c r="DM62" s="581"/>
      <c r="DN62" s="581"/>
      <c r="DO62" s="582"/>
      <c r="DP62" s="581"/>
      <c r="DQ62" s="581"/>
      <c r="DR62" s="581"/>
      <c r="DS62" s="582"/>
      <c r="DT62" s="581"/>
      <c r="DU62" s="581"/>
      <c r="DV62" s="581"/>
      <c r="DW62" s="581"/>
      <c r="DX62" s="582"/>
      <c r="DY62" s="581"/>
      <c r="DZ62" s="581"/>
      <c r="EA62" s="581"/>
      <c r="EB62" s="581"/>
      <c r="EC62" s="581"/>
      <c r="ED62" s="581"/>
      <c r="EE62" s="581"/>
      <c r="EF62" s="581"/>
      <c r="EG62" s="581"/>
      <c r="EH62" s="581"/>
      <c r="EI62" s="581"/>
      <c r="EJ62" s="581"/>
      <c r="EK62" s="581"/>
      <c r="EL62" s="581"/>
    </row>
    <row r="63" spans="1:142" s="590" customFormat="1" ht="39.75" customHeight="1">
      <c r="A63" s="576">
        <v>15</v>
      </c>
      <c r="B63" s="807"/>
      <c r="C63" s="528" t="s">
        <v>986</v>
      </c>
      <c r="D63" s="528"/>
      <c r="E63" s="577"/>
      <c r="F63" s="543" t="s">
        <v>977</v>
      </c>
      <c r="G63" s="549">
        <v>110</v>
      </c>
      <c r="H63" s="549"/>
      <c r="I63" s="548"/>
      <c r="J63" s="548"/>
      <c r="K63" s="548">
        <f t="shared" si="35"/>
        <v>98.513942227416933</v>
      </c>
      <c r="L63" s="548">
        <f>90/1.13</f>
        <v>79.646017699115049</v>
      </c>
      <c r="M63" s="548"/>
      <c r="N63" s="549"/>
      <c r="P63" s="548">
        <f>20/1.06</f>
        <v>18.867924528301884</v>
      </c>
      <c r="Q63" s="548">
        <f t="shared" si="36"/>
        <v>42.074027383536489</v>
      </c>
      <c r="R63" s="549">
        <f>42.432/1.13</f>
        <v>37.550442477876111</v>
      </c>
      <c r="S63" s="548"/>
      <c r="T63" s="549"/>
      <c r="V63" s="549">
        <f>4.795/1.06</f>
        <v>4.5235849056603774</v>
      </c>
      <c r="W63" s="548">
        <f t="shared" si="37"/>
        <v>56.439914843880445</v>
      </c>
      <c r="X63" s="578"/>
      <c r="Y63" s="548"/>
      <c r="Z63" s="579"/>
      <c r="AA63" s="579"/>
      <c r="AB63" s="579"/>
      <c r="AC63" s="579"/>
      <c r="AD63" s="579"/>
      <c r="AE63" s="579"/>
      <c r="AF63" s="580"/>
      <c r="AG63" s="580"/>
      <c r="AH63" s="580"/>
      <c r="AI63" s="581"/>
      <c r="AJ63" s="581"/>
      <c r="AK63" s="581"/>
      <c r="AL63" s="581"/>
      <c r="AM63" s="581"/>
      <c r="AN63" s="581"/>
      <c r="AO63" s="581"/>
      <c r="AP63" s="581"/>
      <c r="AQ63" s="581"/>
      <c r="AR63" s="581"/>
      <c r="AS63" s="581"/>
      <c r="AT63" s="581"/>
      <c r="AU63" s="581"/>
      <c r="AV63" s="581"/>
      <c r="AW63" s="581"/>
      <c r="AX63" s="581"/>
      <c r="AY63" s="581"/>
      <c r="AZ63" s="581"/>
      <c r="BA63" s="581"/>
      <c r="BB63" s="581"/>
      <c r="BC63" s="581"/>
      <c r="BD63" s="581"/>
      <c r="BE63" s="581"/>
      <c r="BF63" s="581"/>
      <c r="BG63" s="581"/>
      <c r="BH63" s="581"/>
      <c r="BI63" s="581"/>
      <c r="BJ63" s="581"/>
      <c r="BK63" s="581"/>
      <c r="BL63" s="581"/>
      <c r="BM63" s="581"/>
      <c r="BN63" s="581"/>
      <c r="BO63" s="581"/>
      <c r="BP63" s="581"/>
      <c r="BQ63" s="581"/>
      <c r="BR63" s="581"/>
      <c r="BS63" s="581"/>
      <c r="BT63" s="581"/>
      <c r="BU63" s="581"/>
      <c r="BV63" s="581"/>
      <c r="BW63" s="581"/>
      <c r="BX63" s="581"/>
      <c r="BY63" s="581"/>
      <c r="BZ63" s="581"/>
      <c r="CA63" s="581"/>
      <c r="CB63" s="581"/>
      <c r="CC63" s="581"/>
      <c r="CD63" s="581"/>
      <c r="CE63" s="581"/>
      <c r="CF63" s="581"/>
      <c r="CG63" s="581"/>
      <c r="CH63" s="581"/>
      <c r="CI63" s="581"/>
      <c r="CJ63" s="581"/>
      <c r="CK63" s="581"/>
      <c r="CL63" s="581"/>
      <c r="CM63" s="581"/>
      <c r="CN63" s="581"/>
      <c r="CO63" s="581"/>
      <c r="CP63" s="581"/>
      <c r="CQ63" s="581"/>
      <c r="CR63" s="581"/>
      <c r="CS63" s="581"/>
      <c r="CT63" s="581"/>
      <c r="CU63" s="581"/>
      <c r="CV63" s="581"/>
      <c r="CW63" s="581"/>
      <c r="CX63" s="581"/>
      <c r="CY63" s="581"/>
      <c r="CZ63" s="581"/>
      <c r="DA63" s="581"/>
      <c r="DB63" s="581"/>
      <c r="DC63" s="581"/>
      <c r="DD63" s="581"/>
      <c r="DE63" s="581"/>
      <c r="DF63" s="582"/>
      <c r="DG63" s="581"/>
      <c r="DH63" s="581"/>
      <c r="DI63" s="581"/>
      <c r="DJ63" s="582"/>
      <c r="DK63" s="581"/>
      <c r="DL63" s="581"/>
      <c r="DM63" s="581"/>
      <c r="DN63" s="581"/>
      <c r="DO63" s="582"/>
      <c r="DP63" s="581"/>
      <c r="DQ63" s="581"/>
      <c r="DR63" s="581"/>
      <c r="DS63" s="582"/>
      <c r="DT63" s="581"/>
      <c r="DU63" s="581"/>
      <c r="DV63" s="581"/>
      <c r="DW63" s="581"/>
      <c r="DX63" s="582"/>
      <c r="DY63" s="581"/>
      <c r="DZ63" s="581"/>
      <c r="EA63" s="581"/>
      <c r="EB63" s="581"/>
      <c r="EC63" s="581"/>
      <c r="ED63" s="581"/>
      <c r="EE63" s="581"/>
      <c r="EF63" s="581"/>
      <c r="EG63" s="581"/>
      <c r="EH63" s="581"/>
      <c r="EI63" s="581"/>
      <c r="EJ63" s="581"/>
      <c r="EK63" s="581"/>
      <c r="EL63" s="581"/>
    </row>
    <row r="64" spans="1:142" s="590" customFormat="1" ht="39.75" customHeight="1">
      <c r="A64" s="576">
        <v>16</v>
      </c>
      <c r="B64" s="807"/>
      <c r="C64" s="528" t="s">
        <v>987</v>
      </c>
      <c r="D64" s="528"/>
      <c r="E64" s="577"/>
      <c r="F64" s="543" t="s">
        <v>977</v>
      </c>
      <c r="G64" s="549">
        <v>550</v>
      </c>
      <c r="H64" s="549"/>
      <c r="I64" s="548"/>
      <c r="J64" s="548"/>
      <c r="K64" s="548">
        <f t="shared" si="35"/>
        <v>492.56971113708471</v>
      </c>
      <c r="L64" s="548">
        <f>450/1.13</f>
        <v>398.23008849557527</v>
      </c>
      <c r="M64" s="548"/>
      <c r="N64" s="549"/>
      <c r="P64" s="548">
        <f>100/1.06</f>
        <v>94.339622641509436</v>
      </c>
      <c r="Q64" s="548">
        <f t="shared" si="36"/>
        <v>210.37013691768246</v>
      </c>
      <c r="R64" s="549">
        <f>42.432*5/1.13</f>
        <v>187.75221238938056</v>
      </c>
      <c r="S64" s="596"/>
      <c r="T64" s="549"/>
      <c r="V64" s="549">
        <f>4.795*5/1.06</f>
        <v>22.617924528301888</v>
      </c>
      <c r="W64" s="548">
        <f t="shared" si="37"/>
        <v>282.19957421940228</v>
      </c>
      <c r="X64" s="578"/>
      <c r="Y64" s="548"/>
      <c r="Z64" s="579"/>
      <c r="AA64" s="579"/>
      <c r="AB64" s="579"/>
      <c r="AC64" s="579"/>
      <c r="AD64" s="579"/>
      <c r="AE64" s="579"/>
      <c r="AF64" s="580"/>
      <c r="AG64" s="580"/>
      <c r="AH64" s="580"/>
      <c r="AI64" s="581"/>
      <c r="AJ64" s="581"/>
      <c r="AK64" s="581"/>
      <c r="AL64" s="581"/>
      <c r="AM64" s="581"/>
      <c r="AN64" s="581"/>
      <c r="AO64" s="581"/>
      <c r="AP64" s="581"/>
      <c r="AQ64" s="581"/>
      <c r="AR64" s="581"/>
      <c r="AS64" s="581"/>
      <c r="AT64" s="581"/>
      <c r="AU64" s="581"/>
      <c r="AV64" s="581"/>
      <c r="AW64" s="581"/>
      <c r="AX64" s="581"/>
      <c r="AY64" s="581"/>
      <c r="AZ64" s="581"/>
      <c r="BA64" s="581"/>
      <c r="BB64" s="581"/>
      <c r="BC64" s="581"/>
      <c r="BD64" s="581"/>
      <c r="BE64" s="581"/>
      <c r="BF64" s="581"/>
      <c r="BG64" s="581"/>
      <c r="BH64" s="581"/>
      <c r="BI64" s="581"/>
      <c r="BJ64" s="581"/>
      <c r="BK64" s="581"/>
      <c r="BL64" s="581"/>
      <c r="BM64" s="581"/>
      <c r="BN64" s="581"/>
      <c r="BO64" s="581"/>
      <c r="BP64" s="581"/>
      <c r="BQ64" s="581"/>
      <c r="BR64" s="581"/>
      <c r="BS64" s="581"/>
      <c r="BT64" s="581"/>
      <c r="BU64" s="581"/>
      <c r="BV64" s="581"/>
      <c r="BW64" s="581"/>
      <c r="BX64" s="581"/>
      <c r="BY64" s="581"/>
      <c r="BZ64" s="581"/>
      <c r="CA64" s="581"/>
      <c r="CB64" s="581"/>
      <c r="CC64" s="581"/>
      <c r="CD64" s="581"/>
      <c r="CE64" s="581"/>
      <c r="CF64" s="581"/>
      <c r="CG64" s="581"/>
      <c r="CH64" s="581"/>
      <c r="CI64" s="581"/>
      <c r="CJ64" s="581"/>
      <c r="CK64" s="581"/>
      <c r="CL64" s="581"/>
      <c r="CM64" s="581"/>
      <c r="CN64" s="581"/>
      <c r="CO64" s="581"/>
      <c r="CP64" s="581"/>
      <c r="CQ64" s="581"/>
      <c r="CR64" s="581"/>
      <c r="CS64" s="581"/>
      <c r="CT64" s="581"/>
      <c r="CU64" s="581"/>
      <c r="CV64" s="581"/>
      <c r="CW64" s="581"/>
      <c r="CX64" s="581"/>
      <c r="CY64" s="581"/>
      <c r="CZ64" s="581"/>
      <c r="DA64" s="581"/>
      <c r="DB64" s="581"/>
      <c r="DC64" s="581"/>
      <c r="DD64" s="581"/>
      <c r="DE64" s="581"/>
      <c r="DF64" s="582"/>
      <c r="DG64" s="581"/>
      <c r="DH64" s="581"/>
      <c r="DI64" s="581"/>
      <c r="DJ64" s="582"/>
      <c r="DK64" s="581"/>
      <c r="DL64" s="581"/>
      <c r="DM64" s="581"/>
      <c r="DN64" s="581"/>
      <c r="DO64" s="582"/>
      <c r="DP64" s="581"/>
      <c r="DQ64" s="581"/>
      <c r="DR64" s="581"/>
      <c r="DS64" s="582"/>
      <c r="DT64" s="581"/>
      <c r="DU64" s="581"/>
      <c r="DV64" s="581"/>
      <c r="DW64" s="581"/>
      <c r="DX64" s="582"/>
      <c r="DY64" s="581"/>
      <c r="DZ64" s="581"/>
      <c r="EA64" s="581"/>
      <c r="EB64" s="581"/>
      <c r="EC64" s="581"/>
      <c r="ED64" s="581"/>
      <c r="EE64" s="581"/>
      <c r="EF64" s="581"/>
      <c r="EG64" s="581"/>
      <c r="EH64" s="581"/>
      <c r="EI64" s="581"/>
      <c r="EJ64" s="581"/>
      <c r="EK64" s="581"/>
      <c r="EL64" s="581"/>
    </row>
    <row r="65" spans="1:142" s="590" customFormat="1" ht="39.75" customHeight="1">
      <c r="A65" s="576">
        <v>17</v>
      </c>
      <c r="B65" s="807"/>
      <c r="C65" s="530" t="s">
        <v>988</v>
      </c>
      <c r="D65" s="528"/>
      <c r="E65" s="577"/>
      <c r="F65" s="543" t="s">
        <v>977</v>
      </c>
      <c r="G65" s="549">
        <v>440</v>
      </c>
      <c r="H65" s="549"/>
      <c r="I65" s="548"/>
      <c r="J65" s="548"/>
      <c r="K65" s="548">
        <f t="shared" si="35"/>
        <v>379.78407079646018</v>
      </c>
      <c r="L65" s="548">
        <f>360/1.13</f>
        <v>318.5840707964602</v>
      </c>
      <c r="M65" s="548"/>
      <c r="N65" s="549"/>
      <c r="P65" s="548">
        <v>61.2</v>
      </c>
      <c r="Q65" s="548">
        <f t="shared" si="36"/>
        <v>168.29610953414596</v>
      </c>
      <c r="R65" s="549">
        <f>42.432*4/1.13</f>
        <v>150.20176991150444</v>
      </c>
      <c r="S65" s="548"/>
      <c r="T65" s="549"/>
      <c r="V65" s="549">
        <f>4.795*4/1.06</f>
        <v>18.09433962264151</v>
      </c>
      <c r="W65" s="548">
        <f t="shared" si="37"/>
        <v>211.48796126231423</v>
      </c>
      <c r="X65" s="548"/>
      <c r="Y65" s="548"/>
      <c r="Z65" s="579"/>
      <c r="AA65" s="579"/>
      <c r="AB65" s="579"/>
      <c r="AC65" s="579"/>
      <c r="AD65" s="579"/>
      <c r="AE65" s="579"/>
      <c r="AF65" s="580"/>
      <c r="AG65" s="580"/>
      <c r="AH65" s="580"/>
      <c r="AI65" s="581"/>
      <c r="AJ65" s="581"/>
      <c r="AK65" s="581"/>
      <c r="AL65" s="581"/>
      <c r="AM65" s="581"/>
      <c r="AN65" s="581"/>
      <c r="AO65" s="581"/>
      <c r="AP65" s="581"/>
      <c r="AQ65" s="581"/>
      <c r="AR65" s="581"/>
      <c r="AS65" s="581"/>
      <c r="AT65" s="581"/>
      <c r="AU65" s="581"/>
      <c r="AV65" s="581"/>
      <c r="AW65" s="581"/>
      <c r="AX65" s="581"/>
      <c r="AY65" s="581"/>
      <c r="AZ65" s="581"/>
      <c r="BA65" s="581"/>
      <c r="BB65" s="581"/>
      <c r="BC65" s="581"/>
      <c r="BD65" s="581"/>
      <c r="BE65" s="581"/>
      <c r="BF65" s="581"/>
      <c r="BG65" s="581"/>
      <c r="BH65" s="581"/>
      <c r="BI65" s="581"/>
      <c r="BJ65" s="581"/>
      <c r="BK65" s="581"/>
      <c r="BL65" s="581"/>
      <c r="BM65" s="581"/>
      <c r="BN65" s="581"/>
      <c r="BO65" s="581"/>
      <c r="BP65" s="581"/>
      <c r="BQ65" s="581"/>
      <c r="BR65" s="581"/>
      <c r="BS65" s="581"/>
      <c r="BT65" s="581"/>
      <c r="BU65" s="581"/>
      <c r="BV65" s="581"/>
      <c r="BW65" s="581"/>
      <c r="BX65" s="581"/>
      <c r="BY65" s="581"/>
      <c r="BZ65" s="581"/>
      <c r="CA65" s="581"/>
      <c r="CB65" s="581"/>
      <c r="CC65" s="581"/>
      <c r="CD65" s="581"/>
      <c r="CE65" s="581"/>
      <c r="CF65" s="581"/>
      <c r="CG65" s="581"/>
      <c r="CH65" s="581"/>
      <c r="CI65" s="581"/>
      <c r="CJ65" s="581"/>
      <c r="CK65" s="581"/>
      <c r="CL65" s="581"/>
      <c r="CM65" s="581"/>
      <c r="CN65" s="581"/>
      <c r="CO65" s="581"/>
      <c r="CP65" s="581"/>
      <c r="CQ65" s="581"/>
      <c r="CR65" s="581"/>
      <c r="CS65" s="581"/>
      <c r="CT65" s="581"/>
      <c r="CU65" s="581"/>
      <c r="CV65" s="581"/>
      <c r="CW65" s="581"/>
      <c r="CX65" s="581"/>
      <c r="CY65" s="581"/>
      <c r="CZ65" s="581"/>
      <c r="DA65" s="581"/>
      <c r="DB65" s="581"/>
      <c r="DC65" s="581"/>
      <c r="DD65" s="581"/>
      <c r="DE65" s="581"/>
      <c r="DF65" s="582"/>
      <c r="DG65" s="581"/>
      <c r="DH65" s="581"/>
      <c r="DI65" s="581"/>
      <c r="DJ65" s="582"/>
      <c r="DK65" s="581"/>
      <c r="DL65" s="581"/>
      <c r="DM65" s="581"/>
      <c r="DN65" s="581"/>
      <c r="DO65" s="582"/>
      <c r="DP65" s="581"/>
      <c r="DQ65" s="581"/>
      <c r="DR65" s="581"/>
      <c r="DS65" s="582"/>
      <c r="DT65" s="581"/>
      <c r="DU65" s="581"/>
      <c r="DV65" s="581"/>
      <c r="DW65" s="581"/>
      <c r="DX65" s="582"/>
      <c r="DY65" s="581"/>
      <c r="DZ65" s="581"/>
      <c r="EA65" s="581"/>
      <c r="EB65" s="581"/>
      <c r="EC65" s="581"/>
      <c r="ED65" s="581"/>
      <c r="EE65" s="581"/>
      <c r="EF65" s="581"/>
      <c r="EG65" s="581"/>
      <c r="EH65" s="581"/>
      <c r="EI65" s="581"/>
      <c r="EJ65" s="581"/>
      <c r="EK65" s="581"/>
      <c r="EL65" s="581"/>
    </row>
    <row r="66" spans="1:142" s="590" customFormat="1" ht="49.5" customHeight="1">
      <c r="A66" s="576">
        <v>18</v>
      </c>
      <c r="B66" s="862" t="s">
        <v>912</v>
      </c>
      <c r="C66" s="530" t="s">
        <v>989</v>
      </c>
      <c r="D66" s="528"/>
      <c r="E66" s="577" t="s">
        <v>990</v>
      </c>
      <c r="F66" s="557" t="s">
        <v>963</v>
      </c>
      <c r="G66" s="549"/>
      <c r="H66" s="549"/>
      <c r="I66" s="548"/>
      <c r="J66" s="548"/>
      <c r="K66" s="548">
        <v>251.55343500000001</v>
      </c>
      <c r="L66" s="548">
        <v>227.52510000000001</v>
      </c>
      <c r="M66" s="548"/>
      <c r="N66" s="549"/>
      <c r="O66" s="548"/>
      <c r="P66" s="548">
        <v>24.028300000000002</v>
      </c>
      <c r="Q66" s="548">
        <v>158.4836</v>
      </c>
      <c r="R66" s="549">
        <v>149.4195</v>
      </c>
      <c r="S66" s="548"/>
      <c r="T66" s="549"/>
      <c r="U66" s="549"/>
      <c r="V66" s="549">
        <v>9.0640999999999998</v>
      </c>
      <c r="W66" s="548">
        <f t="shared" si="37"/>
        <v>93.069835000000012</v>
      </c>
      <c r="X66" s="548">
        <v>282.57339999999999</v>
      </c>
      <c r="Y66" s="548">
        <v>282.57339999999999</v>
      </c>
      <c r="Z66" s="579"/>
      <c r="AA66" s="579"/>
      <c r="AB66" s="579"/>
      <c r="AC66" s="579"/>
      <c r="AD66" s="579"/>
      <c r="AE66" s="579"/>
      <c r="AF66" s="580"/>
      <c r="AG66" s="580"/>
      <c r="AH66" s="580"/>
      <c r="AI66" s="581"/>
      <c r="AJ66" s="581"/>
      <c r="AK66" s="581"/>
      <c r="AL66" s="581"/>
      <c r="AM66" s="581"/>
      <c r="AN66" s="581"/>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c r="BT66" s="581"/>
      <c r="BU66" s="581"/>
      <c r="BV66" s="581"/>
      <c r="BW66" s="581"/>
      <c r="BX66" s="581"/>
      <c r="BY66" s="581"/>
      <c r="BZ66" s="581"/>
      <c r="CA66" s="581"/>
      <c r="CB66" s="581"/>
      <c r="CC66" s="581"/>
      <c r="CD66" s="581"/>
      <c r="CE66" s="581"/>
      <c r="CF66" s="581"/>
      <c r="CG66" s="581"/>
      <c r="CH66" s="581"/>
      <c r="CI66" s="581"/>
      <c r="CJ66" s="581"/>
      <c r="CK66" s="581"/>
      <c r="CL66" s="581"/>
      <c r="CM66" s="581"/>
      <c r="CN66" s="581"/>
      <c r="CO66" s="581"/>
      <c r="CP66" s="581"/>
      <c r="CQ66" s="581"/>
      <c r="CR66" s="581"/>
      <c r="CS66" s="581"/>
      <c r="CT66" s="581"/>
      <c r="CU66" s="581"/>
      <c r="CV66" s="581"/>
      <c r="CW66" s="581"/>
      <c r="CX66" s="581"/>
      <c r="CY66" s="581"/>
      <c r="CZ66" s="581"/>
      <c r="DA66" s="581"/>
      <c r="DB66" s="581"/>
      <c r="DC66" s="581"/>
      <c r="DD66" s="581"/>
      <c r="DE66" s="581"/>
      <c r="DF66" s="582"/>
      <c r="DG66" s="581"/>
      <c r="DH66" s="581"/>
      <c r="DI66" s="581"/>
      <c r="DJ66" s="582"/>
      <c r="DK66" s="581"/>
      <c r="DL66" s="581"/>
      <c r="DM66" s="581"/>
      <c r="DN66" s="581"/>
      <c r="DO66" s="582"/>
      <c r="DP66" s="581"/>
      <c r="DQ66" s="581"/>
      <c r="DR66" s="581"/>
      <c r="DS66" s="582"/>
      <c r="DT66" s="581"/>
      <c r="DU66" s="581"/>
      <c r="DV66" s="581"/>
      <c r="DW66" s="581"/>
      <c r="DX66" s="582"/>
      <c r="DY66" s="581"/>
      <c r="DZ66" s="581"/>
      <c r="EA66" s="581"/>
      <c r="EB66" s="581"/>
      <c r="EC66" s="581"/>
      <c r="ED66" s="581"/>
      <c r="EE66" s="581"/>
      <c r="EF66" s="581"/>
      <c r="EG66" s="581"/>
      <c r="EH66" s="581"/>
      <c r="EI66" s="581"/>
      <c r="EJ66" s="581"/>
      <c r="EK66" s="581"/>
      <c r="EL66" s="581"/>
    </row>
    <row r="67" spans="1:142" s="590" customFormat="1" ht="55.5" customHeight="1">
      <c r="A67" s="589">
        <v>19</v>
      </c>
      <c r="B67" s="862"/>
      <c r="C67" s="528" t="s">
        <v>991</v>
      </c>
      <c r="D67" s="528"/>
      <c r="E67" s="577"/>
      <c r="F67" s="543" t="s">
        <v>977</v>
      </c>
      <c r="G67" s="549"/>
      <c r="H67" s="549"/>
      <c r="I67" s="549"/>
      <c r="J67" s="549"/>
      <c r="K67" s="549">
        <v>3.2</v>
      </c>
      <c r="L67" s="549">
        <v>0</v>
      </c>
      <c r="M67" s="549"/>
      <c r="N67" s="549"/>
      <c r="O67" s="549"/>
      <c r="P67" s="549">
        <v>3</v>
      </c>
      <c r="Q67" s="549">
        <v>1</v>
      </c>
      <c r="R67" s="549">
        <f t="shared" ref="R67:R73" si="38">Q67-V67</f>
        <v>0</v>
      </c>
      <c r="S67" s="549"/>
      <c r="T67" s="549"/>
      <c r="U67" s="549"/>
      <c r="V67" s="549">
        <v>1</v>
      </c>
      <c r="W67" s="549">
        <f t="shared" si="37"/>
        <v>2.2000000000000002</v>
      </c>
      <c r="X67" s="584"/>
      <c r="Y67" s="585"/>
      <c r="Z67" s="585"/>
      <c r="AA67" s="585"/>
      <c r="AB67" s="585"/>
      <c r="AC67" s="585"/>
      <c r="AD67" s="585"/>
      <c r="AE67" s="585"/>
      <c r="AF67" s="586"/>
      <c r="AG67" s="586"/>
      <c r="AH67" s="586"/>
      <c r="AI67" s="581"/>
      <c r="AJ67" s="581"/>
      <c r="AK67" s="581"/>
      <c r="AL67" s="581"/>
      <c r="AM67" s="581"/>
      <c r="AN67" s="581"/>
      <c r="AO67" s="581"/>
      <c r="AP67" s="581"/>
      <c r="AQ67" s="581"/>
      <c r="AR67" s="581"/>
      <c r="AS67" s="581"/>
      <c r="AT67" s="581"/>
      <c r="AU67" s="581"/>
      <c r="AV67" s="581"/>
      <c r="AW67" s="581"/>
      <c r="AX67" s="581"/>
      <c r="AY67" s="581"/>
      <c r="AZ67" s="581"/>
      <c r="BA67" s="581"/>
      <c r="BB67" s="581"/>
      <c r="BC67" s="581"/>
      <c r="BD67" s="581"/>
      <c r="BE67" s="581"/>
      <c r="BF67" s="581"/>
      <c r="BG67" s="581"/>
      <c r="BH67" s="581"/>
      <c r="BI67" s="581"/>
      <c r="BJ67" s="581"/>
      <c r="BK67" s="581"/>
      <c r="BL67" s="581"/>
      <c r="BM67" s="581"/>
      <c r="BN67" s="581"/>
      <c r="BO67" s="581"/>
      <c r="BP67" s="581"/>
      <c r="BQ67" s="581"/>
      <c r="BR67" s="581"/>
      <c r="BS67" s="587"/>
      <c r="BT67" s="587"/>
      <c r="BU67" s="587"/>
      <c r="BV67" s="587"/>
      <c r="BW67" s="587"/>
      <c r="BX67" s="587"/>
      <c r="BY67" s="587"/>
      <c r="BZ67" s="587"/>
      <c r="CA67" s="587"/>
      <c r="CB67" s="587"/>
      <c r="CC67" s="587"/>
      <c r="CD67" s="587"/>
      <c r="CE67" s="587"/>
      <c r="CF67" s="587"/>
      <c r="CG67" s="587"/>
      <c r="CH67" s="587"/>
      <c r="CI67" s="587"/>
      <c r="CJ67" s="587"/>
      <c r="CK67" s="587"/>
      <c r="CL67" s="587"/>
      <c r="CM67" s="587"/>
      <c r="CN67" s="587"/>
      <c r="CO67" s="587"/>
      <c r="CP67" s="587"/>
      <c r="CQ67" s="587"/>
      <c r="CR67" s="587"/>
      <c r="CS67" s="587"/>
      <c r="CT67" s="587"/>
      <c r="CU67" s="587"/>
      <c r="CV67" s="587"/>
      <c r="CW67" s="587"/>
      <c r="CX67" s="587"/>
      <c r="CY67" s="587"/>
      <c r="CZ67" s="587"/>
      <c r="DA67" s="587"/>
      <c r="DB67" s="587"/>
      <c r="DC67" s="587"/>
      <c r="DD67" s="587"/>
      <c r="DE67" s="587"/>
      <c r="DF67" s="588"/>
      <c r="DG67" s="587"/>
      <c r="DH67" s="587"/>
      <c r="DI67" s="587"/>
      <c r="DJ67" s="588"/>
      <c r="DK67" s="587"/>
      <c r="DL67" s="587"/>
      <c r="DM67" s="587"/>
      <c r="DN67" s="587"/>
      <c r="DO67" s="588"/>
      <c r="DP67" s="587"/>
      <c r="DQ67" s="587"/>
      <c r="DR67" s="587"/>
      <c r="DS67" s="588"/>
      <c r="DT67" s="587"/>
      <c r="DU67" s="587"/>
      <c r="DV67" s="587"/>
      <c r="DW67" s="587"/>
      <c r="DX67" s="588"/>
      <c r="DY67" s="587"/>
      <c r="DZ67" s="587"/>
      <c r="EA67" s="587"/>
      <c r="EB67" s="587"/>
      <c r="EC67" s="587"/>
      <c r="ED67" s="587"/>
      <c r="EE67" s="587"/>
      <c r="EF67" s="587"/>
      <c r="EG67" s="587"/>
      <c r="EH67" s="587"/>
      <c r="EI67" s="587"/>
      <c r="EJ67" s="587"/>
      <c r="EK67" s="587"/>
      <c r="EL67" s="587"/>
    </row>
    <row r="68" spans="1:142" s="590" customFormat="1" ht="55.5" customHeight="1">
      <c r="A68" s="589">
        <v>20</v>
      </c>
      <c r="B68" s="862"/>
      <c r="C68" s="528" t="s">
        <v>992</v>
      </c>
      <c r="D68" s="528"/>
      <c r="E68" s="577"/>
      <c r="F68" s="543" t="s">
        <v>977</v>
      </c>
      <c r="G68" s="549"/>
      <c r="H68" s="549"/>
      <c r="I68" s="549"/>
      <c r="J68" s="549"/>
      <c r="K68" s="549">
        <v>3.2</v>
      </c>
      <c r="L68" s="549">
        <v>0</v>
      </c>
      <c r="M68" s="549"/>
      <c r="N68" s="549"/>
      <c r="O68" s="549"/>
      <c r="P68" s="549">
        <v>3</v>
      </c>
      <c r="Q68" s="549">
        <v>1</v>
      </c>
      <c r="R68" s="549">
        <f t="shared" si="38"/>
        <v>0</v>
      </c>
      <c r="S68" s="549"/>
      <c r="T68" s="549"/>
      <c r="U68" s="549"/>
      <c r="V68" s="549">
        <v>1</v>
      </c>
      <c r="W68" s="549">
        <f t="shared" si="37"/>
        <v>2.2000000000000002</v>
      </c>
      <c r="X68" s="584"/>
      <c r="Y68" s="585"/>
      <c r="Z68" s="585"/>
      <c r="AA68" s="585"/>
      <c r="AB68" s="585"/>
      <c r="AC68" s="585"/>
      <c r="AD68" s="585"/>
      <c r="AE68" s="585"/>
      <c r="AF68" s="586"/>
      <c r="AG68" s="586"/>
      <c r="AH68" s="586"/>
      <c r="AI68" s="581"/>
      <c r="AJ68" s="581"/>
      <c r="AK68" s="581"/>
      <c r="AL68" s="581"/>
      <c r="AM68" s="581"/>
      <c r="AN68" s="581"/>
      <c r="AO68" s="581"/>
      <c r="AP68" s="581"/>
      <c r="AQ68" s="581"/>
      <c r="AR68" s="581"/>
      <c r="AS68" s="581"/>
      <c r="AT68" s="581"/>
      <c r="AU68" s="581"/>
      <c r="AV68" s="581"/>
      <c r="AW68" s="581"/>
      <c r="AX68" s="581"/>
      <c r="AY68" s="581"/>
      <c r="AZ68" s="581"/>
      <c r="BA68" s="581"/>
      <c r="BB68" s="581"/>
      <c r="BC68" s="581"/>
      <c r="BD68" s="581"/>
      <c r="BE68" s="581"/>
      <c r="BF68" s="581"/>
      <c r="BG68" s="581"/>
      <c r="BH68" s="581"/>
      <c r="BI68" s="581"/>
      <c r="BJ68" s="581"/>
      <c r="BK68" s="581"/>
      <c r="BL68" s="581"/>
      <c r="BM68" s="581"/>
      <c r="BN68" s="581"/>
      <c r="BO68" s="581"/>
      <c r="BP68" s="581"/>
      <c r="BQ68" s="581"/>
      <c r="BR68" s="581"/>
      <c r="BS68" s="587"/>
      <c r="BT68" s="587"/>
      <c r="BU68" s="587"/>
      <c r="BV68" s="587"/>
      <c r="BW68" s="587"/>
      <c r="BX68" s="587"/>
      <c r="BY68" s="587"/>
      <c r="BZ68" s="587"/>
      <c r="CA68" s="587"/>
      <c r="CB68" s="587"/>
      <c r="CC68" s="587"/>
      <c r="CD68" s="587"/>
      <c r="CE68" s="587"/>
      <c r="CF68" s="587"/>
      <c r="CG68" s="587"/>
      <c r="CH68" s="587"/>
      <c r="CI68" s="587"/>
      <c r="CJ68" s="587"/>
      <c r="CK68" s="587"/>
      <c r="CL68" s="587"/>
      <c r="CM68" s="587"/>
      <c r="CN68" s="587"/>
      <c r="CO68" s="587"/>
      <c r="CP68" s="587"/>
      <c r="CQ68" s="587"/>
      <c r="CR68" s="587"/>
      <c r="CS68" s="587"/>
      <c r="CT68" s="587"/>
      <c r="CU68" s="587"/>
      <c r="CV68" s="587"/>
      <c r="CW68" s="587"/>
      <c r="CX68" s="587"/>
      <c r="CY68" s="587"/>
      <c r="CZ68" s="587"/>
      <c r="DA68" s="587"/>
      <c r="DB68" s="587"/>
      <c r="DC68" s="587"/>
      <c r="DD68" s="587"/>
      <c r="DE68" s="587"/>
      <c r="DF68" s="588"/>
      <c r="DG68" s="587"/>
      <c r="DH68" s="587"/>
      <c r="DI68" s="587"/>
      <c r="DJ68" s="588"/>
      <c r="DK68" s="587"/>
      <c r="DL68" s="587"/>
      <c r="DM68" s="587"/>
      <c r="DN68" s="587"/>
      <c r="DO68" s="588"/>
      <c r="DP68" s="587"/>
      <c r="DQ68" s="587"/>
      <c r="DR68" s="587"/>
      <c r="DS68" s="588"/>
      <c r="DT68" s="587"/>
      <c r="DU68" s="587"/>
      <c r="DV68" s="587"/>
      <c r="DW68" s="587"/>
      <c r="DX68" s="588"/>
      <c r="DY68" s="587"/>
      <c r="DZ68" s="587"/>
      <c r="EA68" s="587"/>
      <c r="EB68" s="587"/>
      <c r="EC68" s="587"/>
      <c r="ED68" s="587"/>
      <c r="EE68" s="587"/>
      <c r="EF68" s="587"/>
      <c r="EG68" s="587"/>
      <c r="EH68" s="587"/>
      <c r="EI68" s="587"/>
      <c r="EJ68" s="587"/>
      <c r="EK68" s="587"/>
      <c r="EL68" s="587"/>
    </row>
    <row r="69" spans="1:142" s="590" customFormat="1" ht="55.5" customHeight="1">
      <c r="A69" s="576">
        <v>21</v>
      </c>
      <c r="B69" s="862"/>
      <c r="C69" s="530" t="s">
        <v>993</v>
      </c>
      <c r="D69" s="528"/>
      <c r="E69" s="577"/>
      <c r="F69" s="543" t="s">
        <v>977</v>
      </c>
      <c r="G69" s="549"/>
      <c r="H69" s="549"/>
      <c r="I69" s="548"/>
      <c r="J69" s="548"/>
      <c r="K69" s="548">
        <v>3.2</v>
      </c>
      <c r="L69" s="548">
        <v>0</v>
      </c>
      <c r="M69" s="548"/>
      <c r="N69" s="549"/>
      <c r="O69" s="548"/>
      <c r="P69" s="548">
        <v>3</v>
      </c>
      <c r="Q69" s="548">
        <v>1</v>
      </c>
      <c r="R69" s="549">
        <f t="shared" si="38"/>
        <v>0</v>
      </c>
      <c r="S69" s="548"/>
      <c r="T69" s="549"/>
      <c r="U69" s="549"/>
      <c r="V69" s="549">
        <v>1</v>
      </c>
      <c r="W69" s="548">
        <f t="shared" si="37"/>
        <v>2.2000000000000002</v>
      </c>
      <c r="X69" s="597"/>
      <c r="Y69" s="579"/>
      <c r="Z69" s="579"/>
      <c r="AA69" s="579"/>
      <c r="AB69" s="579"/>
      <c r="AC69" s="579"/>
      <c r="AD69" s="579"/>
      <c r="AE69" s="579"/>
      <c r="AF69" s="580"/>
      <c r="AG69" s="580"/>
      <c r="AH69" s="580"/>
      <c r="AI69" s="581"/>
      <c r="AJ69" s="581"/>
      <c r="AK69" s="581"/>
      <c r="AL69" s="581"/>
      <c r="AM69" s="581"/>
      <c r="AN69" s="581"/>
      <c r="AO69" s="581"/>
      <c r="AP69" s="581"/>
      <c r="AQ69" s="581"/>
      <c r="AR69" s="581"/>
      <c r="AS69" s="581"/>
      <c r="AT69" s="581"/>
      <c r="AU69" s="581"/>
      <c r="AV69" s="581"/>
      <c r="AW69" s="581"/>
      <c r="AX69" s="581"/>
      <c r="AY69" s="581"/>
      <c r="AZ69" s="581"/>
      <c r="BA69" s="581"/>
      <c r="BB69" s="581"/>
      <c r="BC69" s="581"/>
      <c r="BD69" s="581"/>
      <c r="BE69" s="581"/>
      <c r="BF69" s="581"/>
      <c r="BG69" s="581"/>
      <c r="BH69" s="581"/>
      <c r="BI69" s="581"/>
      <c r="BJ69" s="581"/>
      <c r="BK69" s="581"/>
      <c r="BL69" s="581"/>
      <c r="BM69" s="581"/>
      <c r="BN69" s="581"/>
      <c r="BO69" s="581"/>
      <c r="BP69" s="581"/>
      <c r="BQ69" s="581"/>
      <c r="BR69" s="581"/>
      <c r="BS69" s="581"/>
      <c r="BT69" s="581"/>
      <c r="BU69" s="581"/>
      <c r="BV69" s="581"/>
      <c r="BW69" s="581"/>
      <c r="BX69" s="581"/>
      <c r="BY69" s="581"/>
      <c r="BZ69" s="581"/>
      <c r="CA69" s="581"/>
      <c r="CB69" s="581"/>
      <c r="CC69" s="581"/>
      <c r="CD69" s="581"/>
      <c r="CE69" s="581"/>
      <c r="CF69" s="581"/>
      <c r="CG69" s="581"/>
      <c r="CH69" s="581"/>
      <c r="CI69" s="581"/>
      <c r="CJ69" s="581"/>
      <c r="CK69" s="581"/>
      <c r="CL69" s="581"/>
      <c r="CM69" s="581"/>
      <c r="CN69" s="581"/>
      <c r="CO69" s="581"/>
      <c r="CP69" s="581"/>
      <c r="CQ69" s="581"/>
      <c r="CR69" s="581"/>
      <c r="CS69" s="581"/>
      <c r="CT69" s="581"/>
      <c r="CU69" s="581"/>
      <c r="CV69" s="581"/>
      <c r="CW69" s="581"/>
      <c r="CX69" s="581"/>
      <c r="CY69" s="581"/>
      <c r="CZ69" s="581"/>
      <c r="DA69" s="581"/>
      <c r="DB69" s="581"/>
      <c r="DC69" s="581"/>
      <c r="DD69" s="581"/>
      <c r="DE69" s="581"/>
      <c r="DF69" s="582"/>
      <c r="DG69" s="581"/>
      <c r="DH69" s="581"/>
      <c r="DI69" s="581"/>
      <c r="DJ69" s="582"/>
      <c r="DK69" s="581"/>
      <c r="DL69" s="581"/>
      <c r="DM69" s="581"/>
      <c r="DN69" s="581"/>
      <c r="DO69" s="582"/>
      <c r="DP69" s="581"/>
      <c r="DQ69" s="581"/>
      <c r="DR69" s="581"/>
      <c r="DS69" s="582"/>
      <c r="DT69" s="581"/>
      <c r="DU69" s="581"/>
      <c r="DV69" s="581"/>
      <c r="DW69" s="581"/>
      <c r="DX69" s="582"/>
      <c r="DY69" s="581"/>
      <c r="DZ69" s="581"/>
      <c r="EA69" s="581"/>
      <c r="EB69" s="581"/>
      <c r="EC69" s="581"/>
      <c r="ED69" s="581"/>
      <c r="EE69" s="581"/>
      <c r="EF69" s="581"/>
      <c r="EG69" s="581"/>
      <c r="EH69" s="581"/>
      <c r="EI69" s="581"/>
      <c r="EJ69" s="581"/>
      <c r="EK69" s="581"/>
      <c r="EL69" s="581"/>
    </row>
    <row r="70" spans="1:142" s="590" customFormat="1" ht="57.75" customHeight="1">
      <c r="A70" s="576">
        <v>22</v>
      </c>
      <c r="B70" s="862"/>
      <c r="C70" s="530" t="s">
        <v>994</v>
      </c>
      <c r="D70" s="528"/>
      <c r="E70" s="577"/>
      <c r="F70" s="543" t="s">
        <v>977</v>
      </c>
      <c r="G70" s="549"/>
      <c r="H70" s="549"/>
      <c r="I70" s="548"/>
      <c r="J70" s="548"/>
      <c r="K70" s="548">
        <v>22.9</v>
      </c>
      <c r="L70" s="548">
        <v>0</v>
      </c>
      <c r="M70" s="548"/>
      <c r="N70" s="549"/>
      <c r="O70" s="548"/>
      <c r="P70" s="548">
        <v>23</v>
      </c>
      <c r="Q70" s="548">
        <v>0</v>
      </c>
      <c r="R70" s="549">
        <f t="shared" si="38"/>
        <v>0</v>
      </c>
      <c r="S70" s="548"/>
      <c r="T70" s="549"/>
      <c r="U70" s="549"/>
      <c r="V70" s="549">
        <v>0</v>
      </c>
      <c r="W70" s="548">
        <f t="shared" si="37"/>
        <v>22.9</v>
      </c>
      <c r="X70" s="597"/>
      <c r="Y70" s="579"/>
      <c r="Z70" s="579"/>
      <c r="AA70" s="579"/>
      <c r="AB70" s="579"/>
      <c r="AC70" s="579"/>
      <c r="AD70" s="579"/>
      <c r="AE70" s="579"/>
      <c r="AF70" s="580"/>
      <c r="AG70" s="580"/>
      <c r="AH70" s="580"/>
      <c r="AI70" s="581"/>
      <c r="AJ70" s="581"/>
      <c r="AK70" s="581"/>
      <c r="AL70" s="581"/>
      <c r="AM70" s="581"/>
      <c r="AN70" s="581"/>
      <c r="AO70" s="581"/>
      <c r="AP70" s="581"/>
      <c r="AQ70" s="581"/>
      <c r="AR70" s="581"/>
      <c r="AS70" s="581"/>
      <c r="AT70" s="581"/>
      <c r="AU70" s="581"/>
      <c r="AV70" s="581"/>
      <c r="AW70" s="581"/>
      <c r="AX70" s="581"/>
      <c r="AY70" s="581"/>
      <c r="AZ70" s="581"/>
      <c r="BA70" s="581"/>
      <c r="BB70" s="581"/>
      <c r="BC70" s="581"/>
      <c r="BD70" s="581"/>
      <c r="BE70" s="581"/>
      <c r="BF70" s="581"/>
      <c r="BG70" s="581"/>
      <c r="BH70" s="581"/>
      <c r="BI70" s="581"/>
      <c r="BJ70" s="581"/>
      <c r="BK70" s="581"/>
      <c r="BL70" s="581"/>
      <c r="BM70" s="581"/>
      <c r="BN70" s="581"/>
      <c r="BO70" s="581"/>
      <c r="BP70" s="581"/>
      <c r="BQ70" s="581"/>
      <c r="BR70" s="581"/>
      <c r="BS70" s="581"/>
      <c r="BT70" s="581"/>
      <c r="BU70" s="581"/>
      <c r="BV70" s="581"/>
      <c r="BW70" s="581"/>
      <c r="BX70" s="581"/>
      <c r="BY70" s="581"/>
      <c r="BZ70" s="581"/>
      <c r="CA70" s="581"/>
      <c r="CB70" s="581"/>
      <c r="CC70" s="581"/>
      <c r="CD70" s="581"/>
      <c r="CE70" s="581"/>
      <c r="CF70" s="581"/>
      <c r="CG70" s="581"/>
      <c r="CH70" s="581"/>
      <c r="CI70" s="581"/>
      <c r="CJ70" s="581"/>
      <c r="CK70" s="581"/>
      <c r="CL70" s="581"/>
      <c r="CM70" s="581"/>
      <c r="CN70" s="581"/>
      <c r="CO70" s="581"/>
      <c r="CP70" s="581"/>
      <c r="CQ70" s="581"/>
      <c r="CR70" s="581"/>
      <c r="CS70" s="581"/>
      <c r="CT70" s="581"/>
      <c r="CU70" s="581"/>
      <c r="CV70" s="581"/>
      <c r="CW70" s="581"/>
      <c r="CX70" s="581"/>
      <c r="CY70" s="581"/>
      <c r="CZ70" s="581"/>
      <c r="DA70" s="581"/>
      <c r="DB70" s="581"/>
      <c r="DC70" s="581"/>
      <c r="DD70" s="581"/>
      <c r="DE70" s="581"/>
      <c r="DF70" s="582"/>
      <c r="DG70" s="581"/>
      <c r="DH70" s="581"/>
      <c r="DI70" s="581"/>
      <c r="DJ70" s="582"/>
      <c r="DK70" s="581"/>
      <c r="DL70" s="581"/>
      <c r="DM70" s="581"/>
      <c r="DN70" s="581"/>
      <c r="DO70" s="582"/>
      <c r="DP70" s="581"/>
      <c r="DQ70" s="581"/>
      <c r="DR70" s="581"/>
      <c r="DS70" s="582"/>
      <c r="DT70" s="581"/>
      <c r="DU70" s="581"/>
      <c r="DV70" s="581"/>
      <c r="DW70" s="581"/>
      <c r="DX70" s="582"/>
      <c r="DY70" s="581"/>
      <c r="DZ70" s="581"/>
      <c r="EA70" s="581"/>
      <c r="EB70" s="581"/>
      <c r="EC70" s="581"/>
      <c r="ED70" s="581"/>
      <c r="EE70" s="581"/>
      <c r="EF70" s="581"/>
      <c r="EG70" s="581"/>
      <c r="EH70" s="581"/>
      <c r="EI70" s="581"/>
      <c r="EJ70" s="581"/>
      <c r="EK70" s="581"/>
      <c r="EL70" s="581"/>
    </row>
    <row r="71" spans="1:142" s="590" customFormat="1" ht="39.75" customHeight="1">
      <c r="A71" s="576">
        <v>23</v>
      </c>
      <c r="B71" s="862"/>
      <c r="C71" s="530" t="s">
        <v>995</v>
      </c>
      <c r="D71" s="528"/>
      <c r="E71" s="577"/>
      <c r="F71" s="543" t="s">
        <v>977</v>
      </c>
      <c r="G71" s="549"/>
      <c r="H71" s="549"/>
      <c r="I71" s="548"/>
      <c r="J71" s="548"/>
      <c r="K71" s="548">
        <v>4</v>
      </c>
      <c r="L71" s="548">
        <v>0</v>
      </c>
      <c r="M71" s="548"/>
      <c r="N71" s="549"/>
      <c r="O71" s="548"/>
      <c r="P71" s="548">
        <v>4</v>
      </c>
      <c r="Q71" s="548">
        <v>0</v>
      </c>
      <c r="R71" s="549">
        <f t="shared" si="38"/>
        <v>0</v>
      </c>
      <c r="S71" s="549"/>
      <c r="T71" s="549"/>
      <c r="U71" s="549"/>
      <c r="V71" s="549">
        <v>0</v>
      </c>
      <c r="W71" s="549">
        <f t="shared" si="37"/>
        <v>4</v>
      </c>
      <c r="X71" s="597"/>
      <c r="Y71" s="579"/>
      <c r="Z71" s="579"/>
      <c r="AA71" s="579"/>
      <c r="AB71" s="579"/>
      <c r="AC71" s="579"/>
      <c r="AD71" s="579"/>
      <c r="AE71" s="579"/>
      <c r="AF71" s="580"/>
      <c r="AG71" s="580"/>
      <c r="AH71" s="580"/>
      <c r="AI71" s="581"/>
      <c r="AJ71" s="581"/>
      <c r="AK71" s="581"/>
      <c r="AL71" s="581"/>
      <c r="AM71" s="581"/>
      <c r="AN71" s="581"/>
      <c r="AO71" s="581"/>
      <c r="AP71" s="581"/>
      <c r="AQ71" s="581"/>
      <c r="AR71" s="581"/>
      <c r="AS71" s="581"/>
      <c r="AT71" s="581"/>
      <c r="AU71" s="581"/>
      <c r="AV71" s="581"/>
      <c r="AW71" s="581"/>
      <c r="AX71" s="581"/>
      <c r="AY71" s="581"/>
      <c r="AZ71" s="581"/>
      <c r="BA71" s="581"/>
      <c r="BB71" s="581"/>
      <c r="BC71" s="581"/>
      <c r="BD71" s="581"/>
      <c r="BE71" s="581"/>
      <c r="BF71" s="581"/>
      <c r="BG71" s="581"/>
      <c r="BH71" s="581"/>
      <c r="BI71" s="581"/>
      <c r="BJ71" s="581"/>
      <c r="BK71" s="581"/>
      <c r="BL71" s="581"/>
      <c r="BM71" s="581"/>
      <c r="BN71" s="581"/>
      <c r="BO71" s="581"/>
      <c r="BP71" s="581"/>
      <c r="BQ71" s="581"/>
      <c r="BR71" s="581"/>
      <c r="BS71" s="581"/>
      <c r="BT71" s="581"/>
      <c r="BU71" s="581"/>
      <c r="BV71" s="581"/>
      <c r="BW71" s="581"/>
      <c r="BX71" s="581"/>
      <c r="BY71" s="581"/>
      <c r="BZ71" s="581"/>
      <c r="CA71" s="581"/>
      <c r="CB71" s="581"/>
      <c r="CC71" s="581"/>
      <c r="CD71" s="581"/>
      <c r="CE71" s="581"/>
      <c r="CF71" s="581"/>
      <c r="CG71" s="581"/>
      <c r="CH71" s="581"/>
      <c r="CI71" s="581"/>
      <c r="CJ71" s="581"/>
      <c r="CK71" s="581"/>
      <c r="CL71" s="581"/>
      <c r="CM71" s="581"/>
      <c r="CN71" s="581"/>
      <c r="CO71" s="581"/>
      <c r="CP71" s="581"/>
      <c r="CQ71" s="581"/>
      <c r="CR71" s="581"/>
      <c r="CS71" s="581"/>
      <c r="CT71" s="581"/>
      <c r="CU71" s="581"/>
      <c r="CV71" s="581"/>
      <c r="CW71" s="581"/>
      <c r="CX71" s="581"/>
      <c r="CY71" s="581"/>
      <c r="CZ71" s="581"/>
      <c r="DA71" s="581"/>
      <c r="DB71" s="581"/>
      <c r="DC71" s="581"/>
      <c r="DD71" s="581"/>
      <c r="DE71" s="581"/>
      <c r="DF71" s="582"/>
      <c r="DG71" s="581"/>
      <c r="DH71" s="581"/>
      <c r="DI71" s="581"/>
      <c r="DJ71" s="582"/>
      <c r="DK71" s="581"/>
      <c r="DL71" s="581"/>
      <c r="DM71" s="581"/>
      <c r="DN71" s="581"/>
      <c r="DO71" s="582"/>
      <c r="DP71" s="581"/>
      <c r="DQ71" s="581"/>
      <c r="DR71" s="581"/>
      <c r="DS71" s="582"/>
      <c r="DT71" s="581"/>
      <c r="DU71" s="581"/>
      <c r="DV71" s="581"/>
      <c r="DW71" s="581"/>
      <c r="DX71" s="582"/>
      <c r="DY71" s="581"/>
      <c r="DZ71" s="581"/>
      <c r="EA71" s="581"/>
      <c r="EB71" s="581"/>
      <c r="EC71" s="581"/>
      <c r="ED71" s="581"/>
      <c r="EE71" s="581"/>
      <c r="EF71" s="581"/>
      <c r="EG71" s="581"/>
      <c r="EH71" s="581"/>
      <c r="EI71" s="581"/>
      <c r="EJ71" s="581"/>
      <c r="EK71" s="581"/>
      <c r="EL71" s="581"/>
    </row>
    <row r="72" spans="1:142" s="590" customFormat="1" ht="30.75" customHeight="1">
      <c r="A72" s="576">
        <v>24</v>
      </c>
      <c r="B72" s="862"/>
      <c r="C72" s="530" t="s">
        <v>996</v>
      </c>
      <c r="D72" s="528"/>
      <c r="E72" s="577"/>
      <c r="F72" s="543" t="s">
        <v>977</v>
      </c>
      <c r="G72" s="549"/>
      <c r="H72" s="549"/>
      <c r="I72" s="548"/>
      <c r="J72" s="548"/>
      <c r="K72" s="548">
        <v>2.9</v>
      </c>
      <c r="L72" s="548">
        <v>0.9</v>
      </c>
      <c r="M72" s="548"/>
      <c r="N72" s="549"/>
      <c r="O72" s="548"/>
      <c r="P72" s="548">
        <v>2</v>
      </c>
      <c r="Q72" s="548">
        <v>0.54</v>
      </c>
      <c r="R72" s="549">
        <f t="shared" si="38"/>
        <v>-0.45999999999999996</v>
      </c>
      <c r="S72" s="548"/>
      <c r="T72" s="549"/>
      <c r="U72" s="549"/>
      <c r="V72" s="549">
        <v>1</v>
      </c>
      <c r="W72" s="548">
        <f t="shared" si="37"/>
        <v>2.36</v>
      </c>
      <c r="X72" s="597"/>
      <c r="Y72" s="579"/>
      <c r="Z72" s="579"/>
      <c r="AA72" s="579"/>
      <c r="AB72" s="579"/>
      <c r="AC72" s="579"/>
      <c r="AD72" s="579"/>
      <c r="AE72" s="579"/>
      <c r="AF72" s="580"/>
      <c r="AG72" s="580"/>
      <c r="AH72" s="580"/>
      <c r="AI72" s="581"/>
      <c r="AJ72" s="581"/>
      <c r="AK72" s="581"/>
      <c r="AL72" s="581"/>
      <c r="AM72" s="581"/>
      <c r="AN72" s="581"/>
      <c r="AO72" s="581"/>
      <c r="AP72" s="581"/>
      <c r="AQ72" s="581"/>
      <c r="AR72" s="581"/>
      <c r="AS72" s="581"/>
      <c r="AT72" s="581"/>
      <c r="AU72" s="581"/>
      <c r="AV72" s="581"/>
      <c r="AW72" s="581"/>
      <c r="AX72" s="581"/>
      <c r="AY72" s="581"/>
      <c r="AZ72" s="581"/>
      <c r="BA72" s="581"/>
      <c r="BB72" s="581"/>
      <c r="BC72" s="581"/>
      <c r="BD72" s="581"/>
      <c r="BE72" s="581"/>
      <c r="BF72" s="581"/>
      <c r="BG72" s="581"/>
      <c r="BH72" s="581"/>
      <c r="BI72" s="581"/>
      <c r="BJ72" s="581"/>
      <c r="BK72" s="581"/>
      <c r="BL72" s="581"/>
      <c r="BM72" s="581"/>
      <c r="BN72" s="581"/>
      <c r="BO72" s="581"/>
      <c r="BP72" s="581"/>
      <c r="BQ72" s="581"/>
      <c r="BR72" s="581"/>
      <c r="BS72" s="581"/>
      <c r="BT72" s="581"/>
      <c r="BU72" s="581"/>
      <c r="BV72" s="581"/>
      <c r="BW72" s="581"/>
      <c r="BX72" s="581"/>
      <c r="BY72" s="581"/>
      <c r="BZ72" s="581"/>
      <c r="CA72" s="581"/>
      <c r="CB72" s="581"/>
      <c r="CC72" s="581"/>
      <c r="CD72" s="581"/>
      <c r="CE72" s="581"/>
      <c r="CF72" s="581"/>
      <c r="CG72" s="581"/>
      <c r="CH72" s="581"/>
      <c r="CI72" s="581"/>
      <c r="CJ72" s="581"/>
      <c r="CK72" s="581"/>
      <c r="CL72" s="581"/>
      <c r="CM72" s="581"/>
      <c r="CN72" s="581"/>
      <c r="CO72" s="581"/>
      <c r="CP72" s="581"/>
      <c r="CQ72" s="581"/>
      <c r="CR72" s="581"/>
      <c r="CS72" s="581"/>
      <c r="CT72" s="581"/>
      <c r="CU72" s="581"/>
      <c r="CV72" s="581"/>
      <c r="CW72" s="581"/>
      <c r="CX72" s="581"/>
      <c r="CY72" s="581"/>
      <c r="CZ72" s="581"/>
      <c r="DA72" s="581"/>
      <c r="DB72" s="581"/>
      <c r="DC72" s="581"/>
      <c r="DD72" s="581"/>
      <c r="DE72" s="581"/>
      <c r="DF72" s="582"/>
      <c r="DG72" s="581"/>
      <c r="DH72" s="581"/>
      <c r="DI72" s="581"/>
      <c r="DJ72" s="582"/>
      <c r="DK72" s="581"/>
      <c r="DL72" s="581"/>
      <c r="DM72" s="581"/>
      <c r="DN72" s="581"/>
      <c r="DO72" s="582"/>
      <c r="DP72" s="581"/>
      <c r="DQ72" s="581"/>
      <c r="DR72" s="581"/>
      <c r="DS72" s="582"/>
      <c r="DT72" s="581"/>
      <c r="DU72" s="581"/>
      <c r="DV72" s="581"/>
      <c r="DW72" s="581"/>
      <c r="DX72" s="582"/>
      <c r="DY72" s="581"/>
      <c r="DZ72" s="581"/>
      <c r="EA72" s="581"/>
      <c r="EB72" s="581"/>
      <c r="EC72" s="581"/>
      <c r="ED72" s="581"/>
      <c r="EE72" s="581"/>
      <c r="EF72" s="581"/>
      <c r="EG72" s="581"/>
      <c r="EH72" s="581"/>
      <c r="EI72" s="581"/>
      <c r="EJ72" s="581"/>
      <c r="EK72" s="581"/>
      <c r="EL72" s="581"/>
    </row>
    <row r="73" spans="1:142" s="590" customFormat="1" ht="30.75" customHeight="1">
      <c r="A73" s="576">
        <v>25</v>
      </c>
      <c r="B73" s="807"/>
      <c r="C73" s="530" t="s">
        <v>997</v>
      </c>
      <c r="D73" s="593"/>
      <c r="E73" s="594"/>
      <c r="F73" s="543" t="s">
        <v>977</v>
      </c>
      <c r="G73" s="595"/>
      <c r="H73" s="595"/>
      <c r="I73" s="548"/>
      <c r="J73" s="548"/>
      <c r="K73" s="548">
        <v>0.6</v>
      </c>
      <c r="L73" s="548">
        <v>0</v>
      </c>
      <c r="M73" s="548"/>
      <c r="N73" s="549"/>
      <c r="O73" s="548"/>
      <c r="P73" s="548">
        <v>1</v>
      </c>
      <c r="Q73" s="548">
        <f>K73-W73</f>
        <v>0.42</v>
      </c>
      <c r="R73" s="549">
        <f t="shared" si="38"/>
        <v>0.42</v>
      </c>
      <c r="S73" s="596"/>
      <c r="T73" s="549"/>
      <c r="U73" s="549"/>
      <c r="V73" s="549">
        <v>0</v>
      </c>
      <c r="W73" s="596">
        <f>K73*0.3</f>
        <v>0.18</v>
      </c>
      <c r="X73" s="597"/>
      <c r="Y73" s="579"/>
      <c r="Z73" s="579"/>
      <c r="AA73" s="579"/>
      <c r="AB73" s="579"/>
      <c r="AC73" s="579"/>
      <c r="AD73" s="579"/>
      <c r="AE73" s="579"/>
      <c r="AF73" s="580"/>
      <c r="AG73" s="580"/>
      <c r="AH73" s="580"/>
      <c r="AI73" s="581"/>
      <c r="AJ73" s="581"/>
      <c r="AK73" s="581"/>
      <c r="AL73" s="581"/>
      <c r="AM73" s="581"/>
      <c r="AN73" s="581"/>
      <c r="AO73" s="581"/>
      <c r="AP73" s="581"/>
      <c r="AQ73" s="581"/>
      <c r="AR73" s="581"/>
      <c r="AS73" s="581"/>
      <c r="AT73" s="581"/>
      <c r="AU73" s="581"/>
      <c r="AV73" s="581"/>
      <c r="AW73" s="581"/>
      <c r="AX73" s="581"/>
      <c r="AY73" s="581"/>
      <c r="AZ73" s="581"/>
      <c r="BA73" s="581"/>
      <c r="BB73" s="581"/>
      <c r="BC73" s="581"/>
      <c r="BD73" s="581"/>
      <c r="BE73" s="581"/>
      <c r="BF73" s="581"/>
      <c r="BG73" s="581"/>
      <c r="BH73" s="581"/>
      <c r="BI73" s="581"/>
      <c r="BJ73" s="581"/>
      <c r="BK73" s="581"/>
      <c r="BL73" s="581"/>
      <c r="BM73" s="581"/>
      <c r="BN73" s="581"/>
      <c r="BO73" s="581"/>
      <c r="BP73" s="581"/>
      <c r="BQ73" s="581"/>
      <c r="BR73" s="581"/>
      <c r="BS73" s="581"/>
      <c r="BT73" s="581"/>
      <c r="BU73" s="581"/>
      <c r="BV73" s="581"/>
      <c r="BW73" s="581"/>
      <c r="BX73" s="581"/>
      <c r="BY73" s="581"/>
      <c r="BZ73" s="581"/>
      <c r="CA73" s="581"/>
      <c r="CB73" s="581"/>
      <c r="CC73" s="581"/>
      <c r="CD73" s="581"/>
      <c r="CE73" s="581"/>
      <c r="CF73" s="581"/>
      <c r="CG73" s="581"/>
      <c r="CH73" s="581"/>
      <c r="CI73" s="581"/>
      <c r="CJ73" s="581"/>
      <c r="CK73" s="581"/>
      <c r="CL73" s="581"/>
      <c r="CM73" s="581"/>
      <c r="CN73" s="581"/>
      <c r="CO73" s="581"/>
      <c r="CP73" s="581"/>
      <c r="CQ73" s="581"/>
      <c r="CR73" s="581"/>
      <c r="CS73" s="581"/>
      <c r="CT73" s="581"/>
      <c r="CU73" s="581"/>
      <c r="CV73" s="581"/>
      <c r="CW73" s="581"/>
      <c r="CX73" s="581"/>
      <c r="CY73" s="581"/>
      <c r="CZ73" s="581"/>
      <c r="DA73" s="581"/>
      <c r="DB73" s="581"/>
      <c r="DC73" s="581"/>
      <c r="DD73" s="581"/>
      <c r="DE73" s="581"/>
      <c r="DF73" s="582"/>
      <c r="DG73" s="581"/>
      <c r="DH73" s="581"/>
      <c r="DI73" s="581"/>
      <c r="DJ73" s="582"/>
      <c r="DK73" s="581"/>
      <c r="DL73" s="581"/>
      <c r="DM73" s="581"/>
      <c r="DN73" s="581"/>
      <c r="DO73" s="582"/>
      <c r="DP73" s="581"/>
      <c r="DQ73" s="581"/>
      <c r="DR73" s="581"/>
      <c r="DS73" s="582"/>
      <c r="DT73" s="581"/>
      <c r="DU73" s="581"/>
      <c r="DV73" s="581"/>
      <c r="DW73" s="581"/>
      <c r="DX73" s="582"/>
      <c r="DY73" s="581"/>
      <c r="DZ73" s="581"/>
      <c r="EA73" s="581"/>
      <c r="EB73" s="581"/>
      <c r="EC73" s="581"/>
      <c r="ED73" s="581"/>
      <c r="EE73" s="581"/>
      <c r="EF73" s="581"/>
      <c r="EG73" s="581"/>
      <c r="EH73" s="581"/>
      <c r="EI73" s="581"/>
      <c r="EJ73" s="581"/>
      <c r="EK73" s="581"/>
      <c r="EL73" s="581"/>
    </row>
    <row r="74" spans="1:142" s="781" customFormat="1" ht="24" customHeight="1">
      <c r="A74" s="843" t="s">
        <v>924</v>
      </c>
      <c r="B74" s="807"/>
      <c r="C74" s="807"/>
      <c r="D74" s="807"/>
      <c r="E74" s="807"/>
      <c r="F74" s="807"/>
      <c r="G74" s="522">
        <f t="shared" ref="G74:AL74" si="39">SUM(G47:G73)</f>
        <v>11410</v>
      </c>
      <c r="H74" s="522">
        <f t="shared" si="39"/>
        <v>0</v>
      </c>
      <c r="I74" s="522">
        <f t="shared" si="39"/>
        <v>0</v>
      </c>
      <c r="J74" s="522">
        <f t="shared" si="39"/>
        <v>0</v>
      </c>
      <c r="K74" s="522">
        <f t="shared" si="39"/>
        <v>10931.213945936719</v>
      </c>
      <c r="L74" s="522">
        <f t="shared" si="39"/>
        <v>8407.4516486725661</v>
      </c>
      <c r="M74" s="522">
        <f t="shared" si="39"/>
        <v>0</v>
      </c>
      <c r="N74" s="523">
        <f t="shared" si="39"/>
        <v>0</v>
      </c>
      <c r="O74" s="522">
        <f t="shared" si="39"/>
        <v>0</v>
      </c>
      <c r="P74" s="522">
        <f t="shared" si="39"/>
        <v>2523.6622622641512</v>
      </c>
      <c r="Q74" s="522">
        <f t="shared" si="39"/>
        <v>6786.7384488896287</v>
      </c>
      <c r="R74" s="523">
        <f t="shared" si="39"/>
        <v>5310.4432168141602</v>
      </c>
      <c r="S74" s="522">
        <f t="shared" si="39"/>
        <v>0</v>
      </c>
      <c r="T74" s="523">
        <f t="shared" si="39"/>
        <v>0</v>
      </c>
      <c r="U74" s="523">
        <f t="shared" si="39"/>
        <v>0</v>
      </c>
      <c r="V74" s="523">
        <f t="shared" si="39"/>
        <v>1476.2952320754712</v>
      </c>
      <c r="W74" s="522">
        <f t="shared" si="39"/>
        <v>4144.4754970470867</v>
      </c>
      <c r="X74" s="522">
        <f t="shared" si="39"/>
        <v>282.57339999999999</v>
      </c>
      <c r="Y74" s="522">
        <f t="shared" si="39"/>
        <v>282.57339999999999</v>
      </c>
      <c r="Z74" s="522">
        <f t="shared" si="39"/>
        <v>0</v>
      </c>
      <c r="AA74" s="522">
        <f t="shared" si="39"/>
        <v>0</v>
      </c>
      <c r="AB74" s="522">
        <f t="shared" si="39"/>
        <v>0</v>
      </c>
      <c r="AC74" s="522">
        <f t="shared" si="39"/>
        <v>0</v>
      </c>
      <c r="AD74" s="522">
        <f t="shared" si="39"/>
        <v>0</v>
      </c>
      <c r="AE74" s="522">
        <f t="shared" si="39"/>
        <v>0</v>
      </c>
      <c r="AF74" s="522">
        <f t="shared" si="39"/>
        <v>0</v>
      </c>
      <c r="AG74" s="522">
        <f t="shared" si="39"/>
        <v>0</v>
      </c>
      <c r="AH74" s="522">
        <f t="shared" si="39"/>
        <v>0</v>
      </c>
      <c r="AI74" s="522">
        <f t="shared" si="39"/>
        <v>0</v>
      </c>
      <c r="AJ74" s="522">
        <f t="shared" si="39"/>
        <v>0</v>
      </c>
      <c r="AK74" s="522">
        <f t="shared" si="39"/>
        <v>0</v>
      </c>
      <c r="AL74" s="522">
        <f t="shared" si="39"/>
        <v>0</v>
      </c>
      <c r="AM74" s="522">
        <f t="shared" ref="AM74:BR74" si="40">SUM(AM47:AM73)</f>
        <v>0</v>
      </c>
      <c r="AN74" s="522">
        <f t="shared" si="40"/>
        <v>0</v>
      </c>
      <c r="AO74" s="522">
        <f t="shared" si="40"/>
        <v>0</v>
      </c>
      <c r="AP74" s="522">
        <f t="shared" si="40"/>
        <v>0</v>
      </c>
      <c r="AQ74" s="522">
        <f t="shared" si="40"/>
        <v>0</v>
      </c>
      <c r="AR74" s="522">
        <f t="shared" si="40"/>
        <v>0</v>
      </c>
      <c r="AS74" s="522">
        <f t="shared" si="40"/>
        <v>0</v>
      </c>
      <c r="AT74" s="522">
        <f t="shared" si="40"/>
        <v>0</v>
      </c>
      <c r="AU74" s="522">
        <f t="shared" si="40"/>
        <v>0</v>
      </c>
      <c r="AV74" s="522">
        <f t="shared" si="40"/>
        <v>0</v>
      </c>
      <c r="AW74" s="522">
        <f t="shared" si="40"/>
        <v>0</v>
      </c>
      <c r="AX74" s="522">
        <f t="shared" si="40"/>
        <v>0</v>
      </c>
      <c r="AY74" s="522">
        <f t="shared" si="40"/>
        <v>0</v>
      </c>
      <c r="AZ74" s="522">
        <f t="shared" si="40"/>
        <v>0</v>
      </c>
      <c r="BA74" s="522">
        <f t="shared" si="40"/>
        <v>0</v>
      </c>
      <c r="BB74" s="522">
        <f t="shared" si="40"/>
        <v>0</v>
      </c>
      <c r="BC74" s="522">
        <f t="shared" si="40"/>
        <v>0</v>
      </c>
      <c r="BD74" s="522">
        <f t="shared" si="40"/>
        <v>0</v>
      </c>
      <c r="BE74" s="522">
        <f t="shared" si="40"/>
        <v>0</v>
      </c>
      <c r="BF74" s="522">
        <f t="shared" si="40"/>
        <v>0</v>
      </c>
      <c r="BG74" s="522">
        <f t="shared" si="40"/>
        <v>0</v>
      </c>
      <c r="BH74" s="522">
        <f t="shared" si="40"/>
        <v>0</v>
      </c>
      <c r="BI74" s="522">
        <f t="shared" si="40"/>
        <v>0</v>
      </c>
      <c r="BJ74" s="522">
        <f t="shared" si="40"/>
        <v>0</v>
      </c>
      <c r="BK74" s="522">
        <f t="shared" si="40"/>
        <v>0</v>
      </c>
      <c r="BL74" s="522">
        <f t="shared" si="40"/>
        <v>0</v>
      </c>
      <c r="BM74" s="522">
        <f t="shared" si="40"/>
        <v>0</v>
      </c>
      <c r="BN74" s="522">
        <f t="shared" si="40"/>
        <v>0</v>
      </c>
      <c r="BO74" s="522">
        <f t="shared" si="40"/>
        <v>0</v>
      </c>
      <c r="BP74" s="522">
        <f t="shared" si="40"/>
        <v>0</v>
      </c>
      <c r="BQ74" s="522">
        <f t="shared" si="40"/>
        <v>0</v>
      </c>
      <c r="BR74" s="522">
        <f t="shared" si="40"/>
        <v>0</v>
      </c>
      <c r="BS74" s="523">
        <f t="shared" ref="BS74:CX74" si="41">SUM(BS47:BS73)</f>
        <v>0</v>
      </c>
      <c r="BT74" s="522">
        <f t="shared" si="41"/>
        <v>0</v>
      </c>
      <c r="BU74" s="522">
        <f t="shared" si="41"/>
        <v>0</v>
      </c>
      <c r="BV74" s="522">
        <f t="shared" si="41"/>
        <v>0</v>
      </c>
      <c r="BW74" s="523">
        <f t="shared" si="41"/>
        <v>0</v>
      </c>
      <c r="BX74" s="523">
        <f t="shared" si="41"/>
        <v>0</v>
      </c>
      <c r="BY74" s="523">
        <f t="shared" si="41"/>
        <v>0</v>
      </c>
      <c r="BZ74" s="523">
        <f t="shared" si="41"/>
        <v>0</v>
      </c>
      <c r="CA74" s="523">
        <f t="shared" si="41"/>
        <v>0</v>
      </c>
      <c r="CB74" s="523">
        <f t="shared" si="41"/>
        <v>0</v>
      </c>
      <c r="CC74" s="522">
        <f t="shared" si="41"/>
        <v>0</v>
      </c>
      <c r="CD74" s="522">
        <f t="shared" si="41"/>
        <v>0</v>
      </c>
      <c r="CE74" s="522">
        <f t="shared" si="41"/>
        <v>0</v>
      </c>
      <c r="CF74" s="522">
        <f t="shared" si="41"/>
        <v>0</v>
      </c>
      <c r="CG74" s="523">
        <f t="shared" si="41"/>
        <v>0</v>
      </c>
      <c r="CH74" s="523">
        <f t="shared" si="41"/>
        <v>0</v>
      </c>
      <c r="CI74" s="523">
        <f t="shared" si="41"/>
        <v>0</v>
      </c>
      <c r="CJ74" s="523">
        <f t="shared" si="41"/>
        <v>0</v>
      </c>
      <c r="CK74" s="523">
        <f t="shared" si="41"/>
        <v>0</v>
      </c>
      <c r="CL74" s="522">
        <f t="shared" si="41"/>
        <v>0</v>
      </c>
      <c r="CM74" s="522">
        <f t="shared" si="41"/>
        <v>0</v>
      </c>
      <c r="CN74" s="522">
        <f t="shared" si="41"/>
        <v>0</v>
      </c>
      <c r="CO74" s="523">
        <f t="shared" si="41"/>
        <v>0</v>
      </c>
      <c r="CP74" s="523">
        <f t="shared" si="41"/>
        <v>0</v>
      </c>
      <c r="CQ74" s="523">
        <f t="shared" si="41"/>
        <v>0</v>
      </c>
      <c r="CR74" s="523">
        <f t="shared" si="41"/>
        <v>0</v>
      </c>
      <c r="CS74" s="523">
        <f t="shared" si="41"/>
        <v>0</v>
      </c>
      <c r="CT74" s="523">
        <f t="shared" si="41"/>
        <v>0</v>
      </c>
      <c r="CU74" s="523">
        <f t="shared" si="41"/>
        <v>0</v>
      </c>
      <c r="CV74" s="522">
        <f t="shared" si="41"/>
        <v>0</v>
      </c>
      <c r="CW74" s="522">
        <f t="shared" si="41"/>
        <v>0</v>
      </c>
      <c r="CX74" s="523">
        <f t="shared" si="41"/>
        <v>0</v>
      </c>
      <c r="CY74" s="523">
        <f t="shared" ref="CY74:ED74" si="42">SUM(CY47:CY73)</f>
        <v>0</v>
      </c>
      <c r="CZ74" s="523">
        <f t="shared" si="42"/>
        <v>0</v>
      </c>
      <c r="DA74" s="523">
        <f t="shared" si="42"/>
        <v>0</v>
      </c>
      <c r="DB74" s="523">
        <f t="shared" si="42"/>
        <v>0</v>
      </c>
      <c r="DC74" s="523">
        <f t="shared" si="42"/>
        <v>0</v>
      </c>
      <c r="DD74" s="523">
        <f t="shared" si="42"/>
        <v>0</v>
      </c>
      <c r="DE74" s="522">
        <f t="shared" si="42"/>
        <v>0</v>
      </c>
      <c r="DF74" s="522">
        <f t="shared" si="42"/>
        <v>0</v>
      </c>
      <c r="DG74" s="523">
        <f t="shared" si="42"/>
        <v>0</v>
      </c>
      <c r="DH74" s="523">
        <f t="shared" si="42"/>
        <v>0</v>
      </c>
      <c r="DI74" s="523">
        <f t="shared" si="42"/>
        <v>0</v>
      </c>
      <c r="DJ74" s="523">
        <f t="shared" si="42"/>
        <v>0</v>
      </c>
      <c r="DK74" s="523">
        <f t="shared" si="42"/>
        <v>0</v>
      </c>
      <c r="DL74" s="523">
        <f t="shared" si="42"/>
        <v>0</v>
      </c>
      <c r="DM74" s="523">
        <f t="shared" si="42"/>
        <v>0</v>
      </c>
      <c r="DN74" s="522">
        <f t="shared" si="42"/>
        <v>0</v>
      </c>
      <c r="DO74" s="522">
        <f t="shared" si="42"/>
        <v>0</v>
      </c>
      <c r="DP74" s="523">
        <f t="shared" si="42"/>
        <v>0</v>
      </c>
      <c r="DQ74" s="523">
        <f t="shared" si="42"/>
        <v>0</v>
      </c>
      <c r="DR74" s="523">
        <f t="shared" si="42"/>
        <v>0</v>
      </c>
      <c r="DS74" s="523">
        <f t="shared" si="42"/>
        <v>0</v>
      </c>
      <c r="DT74" s="523">
        <f t="shared" si="42"/>
        <v>0</v>
      </c>
      <c r="DU74" s="523">
        <f t="shared" si="42"/>
        <v>0</v>
      </c>
      <c r="DV74" s="523">
        <f t="shared" si="42"/>
        <v>0</v>
      </c>
      <c r="DW74" s="522">
        <f t="shared" si="42"/>
        <v>0</v>
      </c>
      <c r="DX74" s="522">
        <f t="shared" si="42"/>
        <v>0</v>
      </c>
      <c r="DY74" s="523">
        <f t="shared" si="42"/>
        <v>0</v>
      </c>
      <c r="DZ74" s="523">
        <f t="shared" si="42"/>
        <v>0</v>
      </c>
      <c r="EA74" s="523">
        <f t="shared" si="42"/>
        <v>0</v>
      </c>
      <c r="EB74" s="523">
        <f t="shared" si="42"/>
        <v>0</v>
      </c>
      <c r="EC74" s="523">
        <f t="shared" si="42"/>
        <v>0</v>
      </c>
      <c r="ED74" s="523">
        <f t="shared" si="42"/>
        <v>0</v>
      </c>
      <c r="EE74" s="523">
        <f t="shared" ref="EE74:FJ74" si="43">SUM(EE47:EE73)</f>
        <v>0</v>
      </c>
      <c r="EF74" s="522">
        <f t="shared" si="43"/>
        <v>0</v>
      </c>
      <c r="EG74" s="522">
        <f t="shared" si="43"/>
        <v>0</v>
      </c>
      <c r="EH74" s="523">
        <f t="shared" si="43"/>
        <v>0</v>
      </c>
      <c r="EI74" s="523">
        <f t="shared" si="43"/>
        <v>0</v>
      </c>
      <c r="EJ74" s="523">
        <f t="shared" si="43"/>
        <v>0</v>
      </c>
      <c r="EK74" s="523">
        <f t="shared" si="43"/>
        <v>0</v>
      </c>
      <c r="EL74" s="523">
        <f t="shared" si="43"/>
        <v>0</v>
      </c>
    </row>
    <row r="75" spans="1:142" s="778" customFormat="1" ht="30.75" customHeight="1">
      <c r="A75" s="535" t="s">
        <v>998</v>
      </c>
      <c r="B75" s="536"/>
      <c r="C75" s="494" t="s">
        <v>999</v>
      </c>
      <c r="D75" s="535"/>
      <c r="E75" s="536"/>
      <c r="F75" s="535" t="s">
        <v>960</v>
      </c>
      <c r="G75" s="539"/>
      <c r="H75" s="539"/>
      <c r="I75" s="539"/>
      <c r="J75" s="539"/>
      <c r="K75" s="540"/>
      <c r="L75" s="540"/>
      <c r="M75" s="540"/>
      <c r="N75" s="541"/>
      <c r="O75" s="540"/>
      <c r="P75" s="540"/>
      <c r="Q75" s="540"/>
      <c r="R75" s="541"/>
      <c r="S75" s="540"/>
      <c r="T75" s="541"/>
      <c r="U75" s="541"/>
      <c r="V75" s="541"/>
      <c r="W75" s="540"/>
      <c r="X75" s="540"/>
      <c r="Y75" s="575"/>
      <c r="Z75" s="575"/>
      <c r="AA75" s="575"/>
      <c r="AB75" s="575"/>
      <c r="AC75" s="575"/>
      <c r="AD75" s="575"/>
      <c r="AE75" s="575"/>
      <c r="AF75" s="575"/>
      <c r="AG75" s="575"/>
      <c r="AH75" s="575"/>
      <c r="AI75" s="497"/>
      <c r="AJ75" s="497"/>
      <c r="AK75" s="497"/>
      <c r="AL75" s="497"/>
      <c r="AM75" s="497"/>
      <c r="AN75" s="497"/>
      <c r="AO75" s="497"/>
      <c r="AP75" s="497"/>
      <c r="AQ75" s="497"/>
      <c r="AR75" s="497"/>
      <c r="AS75" s="497"/>
      <c r="AT75" s="497"/>
      <c r="AU75" s="497"/>
      <c r="AV75" s="497"/>
      <c r="AW75" s="497"/>
      <c r="AX75" s="497"/>
      <c r="AY75" s="497"/>
      <c r="AZ75" s="497"/>
      <c r="BA75" s="497"/>
      <c r="BB75" s="497"/>
      <c r="BC75" s="497"/>
      <c r="BD75" s="497"/>
      <c r="BE75" s="497"/>
      <c r="BF75" s="497"/>
      <c r="BG75" s="497"/>
      <c r="BH75" s="497"/>
      <c r="BI75" s="497"/>
      <c r="BJ75" s="497"/>
      <c r="BK75" s="497"/>
      <c r="BL75" s="497"/>
      <c r="BM75" s="497"/>
      <c r="BN75" s="497"/>
      <c r="BO75" s="497"/>
      <c r="BP75" s="497"/>
      <c r="BQ75" s="497"/>
      <c r="BR75" s="497"/>
      <c r="BS75" s="497"/>
      <c r="BT75" s="497"/>
      <c r="BU75" s="497"/>
      <c r="BV75" s="497"/>
      <c r="BW75" s="497"/>
      <c r="BX75" s="497"/>
      <c r="BY75" s="497"/>
      <c r="BZ75" s="497"/>
      <c r="CA75" s="497"/>
      <c r="CB75" s="497"/>
      <c r="CC75" s="497"/>
      <c r="CD75" s="497"/>
      <c r="CE75" s="497"/>
      <c r="CF75" s="497"/>
      <c r="CG75" s="497"/>
      <c r="CH75" s="497"/>
      <c r="CI75" s="497"/>
      <c r="CJ75" s="497"/>
      <c r="CK75" s="497"/>
      <c r="CL75" s="497"/>
      <c r="CM75" s="497"/>
      <c r="CN75" s="497"/>
      <c r="CO75" s="497"/>
      <c r="CP75" s="497"/>
      <c r="CQ75" s="497"/>
      <c r="CR75" s="497"/>
      <c r="CS75" s="497"/>
      <c r="CT75" s="497"/>
      <c r="CU75" s="497"/>
      <c r="CV75" s="497"/>
      <c r="CW75" s="497"/>
      <c r="CX75" s="497"/>
      <c r="CY75" s="497"/>
      <c r="CZ75" s="497"/>
      <c r="DA75" s="497"/>
      <c r="DB75" s="497"/>
      <c r="DC75" s="497"/>
      <c r="DD75" s="497"/>
      <c r="DE75" s="497"/>
      <c r="DF75" s="498"/>
      <c r="DG75" s="497"/>
      <c r="DH75" s="497"/>
      <c r="DI75" s="497"/>
      <c r="DJ75" s="497"/>
      <c r="DK75" s="497"/>
      <c r="DL75" s="497"/>
      <c r="DM75" s="497"/>
      <c r="DN75" s="497"/>
      <c r="DO75" s="497"/>
      <c r="DP75" s="497"/>
      <c r="DQ75" s="497"/>
      <c r="DR75" s="497"/>
      <c r="DS75" s="497"/>
      <c r="DT75" s="497"/>
      <c r="DU75" s="497"/>
      <c r="DV75" s="497"/>
      <c r="DW75" s="497"/>
      <c r="DX75" s="497"/>
      <c r="DY75" s="497"/>
      <c r="DZ75" s="497"/>
      <c r="EA75" s="497"/>
      <c r="EB75" s="497"/>
      <c r="EC75" s="497"/>
      <c r="ED75" s="497"/>
      <c r="EE75" s="497"/>
      <c r="EF75" s="497"/>
      <c r="EG75" s="497"/>
      <c r="EH75" s="497"/>
      <c r="EI75" s="497"/>
      <c r="EJ75" s="497"/>
      <c r="EK75" s="497"/>
      <c r="EL75" s="497"/>
    </row>
    <row r="76" spans="1:142" s="44" customFormat="1" ht="40.5" customHeight="1">
      <c r="A76" s="542">
        <v>1</v>
      </c>
      <c r="B76" s="887" t="s">
        <v>927</v>
      </c>
      <c r="C76" s="542" t="s">
        <v>1000</v>
      </c>
      <c r="D76" s="542"/>
      <c r="E76" s="598"/>
      <c r="F76" s="542" t="s">
        <v>1001</v>
      </c>
      <c r="G76" s="548">
        <v>600</v>
      </c>
      <c r="H76" s="548"/>
      <c r="I76" s="548"/>
      <c r="J76" s="548"/>
      <c r="K76" s="599">
        <f>G76*0.8</f>
        <v>480</v>
      </c>
      <c r="L76" s="548"/>
      <c r="M76" s="548"/>
      <c r="N76" s="549"/>
      <c r="O76" s="548"/>
      <c r="P76" s="599">
        <v>480</v>
      </c>
      <c r="Q76" s="548">
        <f>K76-W76</f>
        <v>360</v>
      </c>
      <c r="R76" s="549"/>
      <c r="S76" s="548"/>
      <c r="T76" s="549"/>
      <c r="U76" s="549"/>
      <c r="V76" s="549">
        <v>360</v>
      </c>
      <c r="W76" s="548">
        <f>K76*0.25</f>
        <v>120</v>
      </c>
      <c r="X76" s="600"/>
      <c r="Y76" s="600"/>
      <c r="Z76" s="600"/>
      <c r="AA76" s="600"/>
      <c r="AB76" s="568"/>
      <c r="AC76" s="568"/>
      <c r="AD76" s="568"/>
      <c r="AE76" s="601"/>
      <c r="AF76" s="552"/>
      <c r="AG76" s="552"/>
      <c r="AH76" s="552"/>
      <c r="AI76" s="553"/>
      <c r="AJ76" s="553"/>
      <c r="AK76" s="553"/>
      <c r="AL76" s="553"/>
      <c r="AM76" s="553"/>
      <c r="AN76" s="553"/>
      <c r="AO76" s="553"/>
      <c r="AP76" s="553"/>
      <c r="AQ76" s="553"/>
      <c r="AR76" s="553"/>
      <c r="AS76" s="553"/>
      <c r="AT76" s="553"/>
      <c r="AU76" s="553"/>
      <c r="AV76" s="553"/>
      <c r="AW76" s="553"/>
      <c r="AX76" s="553"/>
      <c r="AY76" s="553"/>
      <c r="AZ76" s="553"/>
      <c r="BA76" s="553"/>
      <c r="BB76" s="553"/>
      <c r="BC76" s="553"/>
      <c r="BD76" s="553"/>
      <c r="BE76" s="553"/>
      <c r="BF76" s="553"/>
      <c r="BG76" s="553"/>
      <c r="BH76" s="553"/>
      <c r="BI76" s="553"/>
      <c r="BJ76" s="553"/>
      <c r="BK76" s="553"/>
      <c r="BL76" s="553"/>
      <c r="BM76" s="553"/>
      <c r="BN76" s="553"/>
      <c r="BO76" s="553"/>
      <c r="BP76" s="553"/>
      <c r="BQ76" s="553"/>
      <c r="BR76" s="553"/>
      <c r="BS76" s="553"/>
      <c r="BT76" s="553"/>
      <c r="BU76" s="553"/>
      <c r="BV76" s="553"/>
      <c r="BW76" s="553"/>
      <c r="BX76" s="553"/>
      <c r="BY76" s="553"/>
      <c r="BZ76" s="553"/>
      <c r="CA76" s="553"/>
      <c r="CB76" s="553"/>
      <c r="CC76" s="553"/>
      <c r="CD76" s="553"/>
      <c r="CE76" s="553"/>
      <c r="CF76" s="553"/>
      <c r="CG76" s="553"/>
      <c r="CH76" s="553"/>
      <c r="CI76" s="553"/>
      <c r="CJ76" s="553"/>
      <c r="CK76" s="553"/>
      <c r="CL76" s="553"/>
      <c r="CM76" s="553"/>
      <c r="CN76" s="553"/>
      <c r="CO76" s="553"/>
      <c r="CP76" s="553"/>
      <c r="CQ76" s="553"/>
      <c r="CR76" s="553"/>
      <c r="CS76" s="553"/>
      <c r="CT76" s="553"/>
      <c r="CU76" s="553"/>
      <c r="CV76" s="553"/>
      <c r="CW76" s="553"/>
      <c r="CX76" s="553"/>
      <c r="CY76" s="553"/>
      <c r="CZ76" s="553"/>
      <c r="DA76" s="553"/>
      <c r="DB76" s="553"/>
      <c r="DC76" s="553"/>
      <c r="DD76" s="553"/>
      <c r="DE76" s="553"/>
      <c r="DF76" s="556"/>
      <c r="DG76" s="553"/>
      <c r="DH76" s="553"/>
      <c r="DI76" s="553"/>
      <c r="DJ76" s="553"/>
      <c r="DK76" s="553"/>
      <c r="DL76" s="553"/>
      <c r="DM76" s="553"/>
      <c r="DN76" s="553"/>
      <c r="DO76" s="553"/>
      <c r="DP76" s="553"/>
      <c r="DQ76" s="553"/>
      <c r="DR76" s="553"/>
      <c r="DS76" s="553"/>
      <c r="DT76" s="553"/>
      <c r="DU76" s="553"/>
      <c r="DV76" s="553"/>
      <c r="DW76" s="553"/>
      <c r="DX76" s="553"/>
      <c r="DY76" s="553"/>
      <c r="DZ76" s="553"/>
      <c r="EA76" s="553"/>
      <c r="EB76" s="553"/>
      <c r="EC76" s="553"/>
      <c r="ED76" s="553"/>
      <c r="EE76" s="553"/>
      <c r="EF76" s="553"/>
      <c r="EG76" s="553"/>
      <c r="EH76" s="553"/>
      <c r="EI76" s="553"/>
      <c r="EJ76" s="553"/>
      <c r="EK76" s="553"/>
      <c r="EL76" s="553"/>
    </row>
    <row r="77" spans="1:142" s="44" customFormat="1" ht="40.5" customHeight="1">
      <c r="A77" s="542">
        <v>2</v>
      </c>
      <c r="B77" s="881"/>
      <c r="C77" s="542" t="s">
        <v>1002</v>
      </c>
      <c r="D77" s="542"/>
      <c r="E77" s="602"/>
      <c r="F77" s="542" t="s">
        <v>1001</v>
      </c>
      <c r="G77" s="548">
        <v>1000</v>
      </c>
      <c r="H77" s="548"/>
      <c r="I77" s="548"/>
      <c r="J77" s="548"/>
      <c r="K77" s="548">
        <f>G77*0.8</f>
        <v>800</v>
      </c>
      <c r="L77" s="548"/>
      <c r="M77" s="548"/>
      <c r="N77" s="549"/>
      <c r="O77" s="548"/>
      <c r="P77" s="548">
        <v>800</v>
      </c>
      <c r="Q77" s="548">
        <f>K77-W77</f>
        <v>600</v>
      </c>
      <c r="R77" s="549"/>
      <c r="S77" s="548"/>
      <c r="T77" s="549"/>
      <c r="U77" s="549"/>
      <c r="V77" s="549">
        <v>600</v>
      </c>
      <c r="W77" s="548">
        <f>K77*0.25</f>
        <v>200</v>
      </c>
      <c r="X77" s="568"/>
      <c r="Y77" s="601"/>
      <c r="Z77" s="568"/>
      <c r="AA77" s="600"/>
      <c r="AB77" s="568"/>
      <c r="AC77" s="568"/>
      <c r="AD77" s="568"/>
      <c r="AE77" s="601"/>
      <c r="AF77" s="552"/>
      <c r="AG77" s="552"/>
      <c r="AH77" s="552"/>
      <c r="AI77" s="43"/>
      <c r="AJ77" s="553"/>
      <c r="AK77" s="553"/>
      <c r="AL77" s="553"/>
      <c r="AM77" s="553"/>
      <c r="AN77" s="553"/>
      <c r="AO77" s="553"/>
      <c r="AP77" s="553"/>
      <c r="AQ77" s="553"/>
      <c r="AR77" s="43"/>
      <c r="AS77" s="553"/>
      <c r="AT77" s="553"/>
      <c r="AU77" s="553"/>
      <c r="AV77" s="553"/>
      <c r="AW77" s="553"/>
      <c r="AX77" s="553"/>
      <c r="AY77" s="553"/>
      <c r="AZ77" s="553"/>
      <c r="BA77" s="43"/>
      <c r="BB77" s="553"/>
      <c r="BC77" s="553"/>
      <c r="BD77" s="553"/>
      <c r="BE77" s="553"/>
      <c r="BF77" s="553"/>
      <c r="BG77" s="553"/>
      <c r="BH77" s="553"/>
      <c r="BI77" s="553"/>
      <c r="BJ77" s="43"/>
      <c r="BK77" s="553"/>
      <c r="BL77" s="553"/>
      <c r="BM77" s="553"/>
      <c r="BN77" s="553"/>
      <c r="BO77" s="553"/>
      <c r="BP77" s="553"/>
      <c r="BQ77" s="553"/>
      <c r="BR77" s="553"/>
      <c r="BS77" s="43"/>
      <c r="BT77" s="553"/>
      <c r="BU77" s="553"/>
      <c r="BV77" s="553"/>
      <c r="BW77" s="553"/>
      <c r="BX77" s="553"/>
      <c r="BY77" s="553"/>
      <c r="BZ77" s="553"/>
      <c r="CA77" s="553"/>
      <c r="CB77" s="553"/>
      <c r="CC77" s="553"/>
      <c r="CD77" s="553"/>
      <c r="CE77" s="553"/>
      <c r="CF77" s="553"/>
      <c r="CG77" s="553"/>
      <c r="CH77" s="553"/>
      <c r="CI77" s="553"/>
      <c r="CJ77" s="553"/>
      <c r="CK77" s="553"/>
      <c r="CL77" s="553"/>
      <c r="CM77" s="553"/>
      <c r="CN77" s="553"/>
      <c r="CO77" s="553"/>
      <c r="CP77" s="553"/>
      <c r="CQ77" s="553"/>
      <c r="CR77" s="553"/>
      <c r="CS77" s="553"/>
      <c r="CT77" s="553"/>
      <c r="CU77" s="553"/>
      <c r="CV77" s="553"/>
      <c r="CW77" s="553"/>
      <c r="CX77" s="553"/>
      <c r="CY77" s="553"/>
      <c r="CZ77" s="553"/>
      <c r="DA77" s="553"/>
      <c r="DB77" s="553"/>
      <c r="DC77" s="553"/>
      <c r="DD77" s="553"/>
      <c r="DE77" s="553"/>
      <c r="DF77" s="556"/>
      <c r="DG77" s="553"/>
      <c r="DH77" s="553"/>
      <c r="DI77" s="553"/>
      <c r="DJ77" s="553"/>
      <c r="DK77" s="553"/>
      <c r="DL77" s="553"/>
      <c r="DM77" s="553"/>
      <c r="DN77" s="553"/>
      <c r="DO77" s="553"/>
      <c r="DP77" s="553"/>
      <c r="DQ77" s="553"/>
      <c r="DR77" s="553"/>
      <c r="DS77" s="553"/>
      <c r="DT77" s="553"/>
      <c r="DU77" s="553"/>
      <c r="DV77" s="553"/>
      <c r="DW77" s="553"/>
      <c r="DX77" s="553"/>
      <c r="DY77" s="553"/>
      <c r="DZ77" s="553"/>
      <c r="EA77" s="553"/>
      <c r="EB77" s="553"/>
      <c r="EC77" s="553"/>
      <c r="ED77" s="553"/>
      <c r="EE77" s="553"/>
      <c r="EF77" s="553"/>
      <c r="EG77" s="553"/>
      <c r="EH77" s="553"/>
      <c r="EI77" s="553"/>
      <c r="EJ77" s="553"/>
      <c r="EK77" s="553"/>
      <c r="EL77" s="553"/>
    </row>
    <row r="78" spans="1:142" s="44" customFormat="1" ht="40.5" customHeight="1">
      <c r="A78" s="542">
        <v>3</v>
      </c>
      <c r="B78" s="881"/>
      <c r="C78" s="542" t="s">
        <v>1003</v>
      </c>
      <c r="D78" s="542"/>
      <c r="E78" s="598"/>
      <c r="F78" s="542" t="s">
        <v>1001</v>
      </c>
      <c r="G78" s="548">
        <v>1000</v>
      </c>
      <c r="H78" s="548"/>
      <c r="I78" s="548"/>
      <c r="J78" s="548"/>
      <c r="K78" s="548">
        <f>G78*0.8</f>
        <v>800</v>
      </c>
      <c r="L78" s="548"/>
      <c r="M78" s="548"/>
      <c r="N78" s="549"/>
      <c r="O78" s="548"/>
      <c r="P78" s="548">
        <v>800</v>
      </c>
      <c r="Q78" s="548">
        <f>K78-W78</f>
        <v>600</v>
      </c>
      <c r="R78" s="549"/>
      <c r="S78" s="548"/>
      <c r="T78" s="549"/>
      <c r="U78" s="549"/>
      <c r="V78" s="549">
        <v>600</v>
      </c>
      <c r="W78" s="548">
        <f>K78*0.25</f>
        <v>200</v>
      </c>
      <c r="X78" s="600"/>
      <c r="Y78" s="600"/>
      <c r="Z78" s="600"/>
      <c r="AA78" s="600"/>
      <c r="AB78" s="568"/>
      <c r="AC78" s="568"/>
      <c r="AD78" s="568"/>
      <c r="AE78" s="601"/>
      <c r="AF78" s="552"/>
      <c r="AG78" s="552"/>
      <c r="AH78" s="552"/>
      <c r="AI78" s="43"/>
      <c r="AJ78" s="553"/>
      <c r="AK78" s="553"/>
      <c r="AL78" s="553"/>
      <c r="AM78" s="553"/>
      <c r="AN78" s="553"/>
      <c r="AO78" s="553"/>
      <c r="AP78" s="553"/>
      <c r="AQ78" s="553"/>
      <c r="AR78" s="43"/>
      <c r="AS78" s="553"/>
      <c r="AT78" s="553"/>
      <c r="AU78" s="553"/>
      <c r="AV78" s="553"/>
      <c r="AW78" s="553"/>
      <c r="AX78" s="553"/>
      <c r="AY78" s="553"/>
      <c r="AZ78" s="553"/>
      <c r="BA78" s="43"/>
      <c r="BB78" s="553"/>
      <c r="BC78" s="553"/>
      <c r="BD78" s="553"/>
      <c r="BE78" s="553"/>
      <c r="BF78" s="553"/>
      <c r="BG78" s="553"/>
      <c r="BH78" s="553"/>
      <c r="BI78" s="553"/>
      <c r="BJ78" s="43"/>
      <c r="BK78" s="553"/>
      <c r="BL78" s="553"/>
      <c r="BM78" s="553"/>
      <c r="BN78" s="553"/>
      <c r="BO78" s="553"/>
      <c r="BP78" s="553"/>
      <c r="BQ78" s="553"/>
      <c r="BR78" s="553"/>
      <c r="BS78" s="43"/>
      <c r="BT78" s="553"/>
      <c r="BU78" s="553"/>
      <c r="BV78" s="553"/>
      <c r="BW78" s="553"/>
      <c r="BX78" s="553"/>
      <c r="BY78" s="553"/>
      <c r="BZ78" s="553"/>
      <c r="CA78" s="553"/>
      <c r="CB78" s="553"/>
      <c r="CC78" s="553"/>
      <c r="CD78" s="553"/>
      <c r="CE78" s="553"/>
      <c r="CF78" s="553"/>
      <c r="CG78" s="553"/>
      <c r="CH78" s="553"/>
      <c r="CI78" s="553"/>
      <c r="CJ78" s="553"/>
      <c r="CK78" s="554"/>
      <c r="CL78" s="553"/>
      <c r="CM78" s="553"/>
      <c r="CN78" s="553"/>
      <c r="CO78" s="553"/>
      <c r="CP78" s="553"/>
      <c r="CQ78" s="553"/>
      <c r="CR78" s="553"/>
      <c r="CS78" s="553"/>
      <c r="CT78" s="553"/>
      <c r="CU78" s="553"/>
      <c r="CV78" s="553"/>
      <c r="CW78" s="553"/>
      <c r="CX78" s="553"/>
      <c r="CY78" s="553"/>
      <c r="CZ78" s="553"/>
      <c r="DA78" s="553"/>
      <c r="DB78" s="553"/>
      <c r="DC78" s="553"/>
      <c r="DD78" s="553"/>
      <c r="DE78" s="553"/>
      <c r="DF78" s="556"/>
      <c r="DG78" s="553"/>
      <c r="DH78" s="553"/>
      <c r="DI78" s="553"/>
      <c r="DJ78" s="553"/>
      <c r="DK78" s="553"/>
      <c r="DL78" s="553"/>
      <c r="DM78" s="553"/>
      <c r="DN78" s="553"/>
      <c r="DO78" s="553"/>
      <c r="DP78" s="553"/>
      <c r="DQ78" s="553"/>
      <c r="DR78" s="553"/>
      <c r="DS78" s="553"/>
      <c r="DT78" s="553"/>
      <c r="DU78" s="553"/>
      <c r="DV78" s="553"/>
      <c r="DW78" s="553"/>
      <c r="DX78" s="553"/>
      <c r="DY78" s="553"/>
      <c r="DZ78" s="553"/>
      <c r="EA78" s="553"/>
      <c r="EB78" s="553"/>
      <c r="EC78" s="553"/>
      <c r="ED78" s="553"/>
      <c r="EE78" s="553"/>
      <c r="EF78" s="553"/>
      <c r="EG78" s="553"/>
      <c r="EH78" s="553"/>
      <c r="EI78" s="553"/>
      <c r="EJ78" s="553"/>
      <c r="EK78" s="553"/>
      <c r="EL78" s="553"/>
    </row>
    <row r="79" spans="1:142" s="44" customFormat="1" ht="40.5" customHeight="1">
      <c r="A79" s="542">
        <v>4</v>
      </c>
      <c r="B79" s="881"/>
      <c r="C79" s="542" t="s">
        <v>1004</v>
      </c>
      <c r="D79" s="542"/>
      <c r="E79" s="598"/>
      <c r="F79" s="542" t="s">
        <v>1001</v>
      </c>
      <c r="G79" s="548">
        <v>100</v>
      </c>
      <c r="H79" s="548"/>
      <c r="I79" s="548"/>
      <c r="J79" s="548"/>
      <c r="K79" s="548">
        <v>89.95</v>
      </c>
      <c r="L79" s="549">
        <v>23.58</v>
      </c>
      <c r="M79" s="548"/>
      <c r="N79" s="549"/>
      <c r="O79" s="548"/>
      <c r="P79" s="548">
        <v>66.37</v>
      </c>
      <c r="Q79" s="548">
        <f>K79-W79</f>
        <v>67.462500000000006</v>
      </c>
      <c r="R79" s="549">
        <f>Q79*0.25</f>
        <v>16.865625000000001</v>
      </c>
      <c r="S79" s="548"/>
      <c r="T79" s="549"/>
      <c r="U79" s="549" t="s">
        <v>1005</v>
      </c>
      <c r="V79" s="549">
        <f>Q79-R79</f>
        <v>50.596875000000004</v>
      </c>
      <c r="W79" s="548">
        <f>K79*0.25</f>
        <v>22.487500000000001</v>
      </c>
      <c r="X79" s="600"/>
      <c r="Y79" s="600"/>
      <c r="Z79" s="600"/>
      <c r="AA79" s="600"/>
      <c r="AB79" s="568"/>
      <c r="AC79" s="568"/>
      <c r="AD79" s="568"/>
      <c r="AE79" s="601"/>
      <c r="AF79" s="552"/>
      <c r="AG79" s="552"/>
      <c r="AH79" s="552"/>
      <c r="AI79" s="43"/>
      <c r="AJ79" s="553"/>
      <c r="AK79" s="553"/>
      <c r="AL79" s="553"/>
      <c r="AM79" s="553"/>
      <c r="AN79" s="553"/>
      <c r="AO79" s="553"/>
      <c r="AP79" s="553"/>
      <c r="AQ79" s="553"/>
      <c r="AR79" s="43"/>
      <c r="AS79" s="553"/>
      <c r="AT79" s="553"/>
      <c r="AU79" s="553"/>
      <c r="AV79" s="553"/>
      <c r="AW79" s="553"/>
      <c r="AX79" s="553"/>
      <c r="AY79" s="553"/>
      <c r="AZ79" s="553"/>
      <c r="BA79" s="43"/>
      <c r="BB79" s="553"/>
      <c r="BC79" s="553"/>
      <c r="BD79" s="553"/>
      <c r="BE79" s="553"/>
      <c r="BF79" s="553"/>
      <c r="BG79" s="553"/>
      <c r="BH79" s="553"/>
      <c r="BI79" s="553"/>
      <c r="BJ79" s="43"/>
      <c r="BK79" s="553"/>
      <c r="BL79" s="553"/>
      <c r="BM79" s="553"/>
      <c r="BN79" s="553"/>
      <c r="BO79" s="553"/>
      <c r="BP79" s="553"/>
      <c r="BQ79" s="553"/>
      <c r="BR79" s="553"/>
      <c r="BS79" s="43"/>
      <c r="BT79" s="553"/>
      <c r="BU79" s="553"/>
      <c r="BV79" s="553"/>
      <c r="BW79" s="553"/>
      <c r="BX79" s="553"/>
      <c r="BY79" s="553"/>
      <c r="BZ79" s="553"/>
      <c r="CA79" s="553"/>
      <c r="CB79" s="553"/>
      <c r="CC79" s="553"/>
      <c r="CD79" s="553"/>
      <c r="CE79" s="553"/>
      <c r="CF79" s="553"/>
      <c r="CG79" s="553"/>
      <c r="CH79" s="553"/>
      <c r="CI79" s="553"/>
      <c r="CJ79" s="553"/>
      <c r="CK79" s="553"/>
      <c r="CL79" s="553"/>
      <c r="CM79" s="553"/>
      <c r="CN79" s="553"/>
      <c r="CO79" s="553"/>
      <c r="CP79" s="553"/>
      <c r="CQ79" s="553"/>
      <c r="CR79" s="553"/>
      <c r="CS79" s="553"/>
      <c r="CT79" s="553"/>
      <c r="CU79" s="553"/>
      <c r="CV79" s="553"/>
      <c r="CW79" s="553"/>
      <c r="CX79" s="553"/>
      <c r="CY79" s="553"/>
      <c r="CZ79" s="553"/>
      <c r="DA79" s="553"/>
      <c r="DB79" s="553"/>
      <c r="DC79" s="553"/>
      <c r="DD79" s="553"/>
      <c r="DE79" s="553"/>
      <c r="DF79" s="556"/>
      <c r="DG79" s="553"/>
      <c r="DH79" s="553"/>
      <c r="DI79" s="553"/>
      <c r="DJ79" s="553"/>
      <c r="DK79" s="553"/>
      <c r="DL79" s="553"/>
      <c r="DM79" s="553"/>
      <c r="DN79" s="553"/>
      <c r="DO79" s="553"/>
      <c r="DP79" s="553"/>
      <c r="DQ79" s="553"/>
      <c r="DR79" s="553"/>
      <c r="DS79" s="553"/>
      <c r="DT79" s="553"/>
      <c r="DU79" s="553"/>
      <c r="DV79" s="553"/>
      <c r="DW79" s="553"/>
      <c r="DX79" s="553"/>
      <c r="DY79" s="553"/>
      <c r="DZ79" s="553"/>
      <c r="EA79" s="553"/>
      <c r="EB79" s="553"/>
      <c r="EC79" s="553"/>
      <c r="ED79" s="553"/>
      <c r="EE79" s="553"/>
      <c r="EF79" s="553"/>
      <c r="EG79" s="553"/>
      <c r="EH79" s="553"/>
      <c r="EI79" s="553"/>
      <c r="EJ79" s="553"/>
      <c r="EK79" s="553"/>
      <c r="EL79" s="553"/>
    </row>
    <row r="80" spans="1:142" s="44" customFormat="1" ht="40.5" customHeight="1">
      <c r="A80" s="542">
        <v>5</v>
      </c>
      <c r="B80" s="881"/>
      <c r="C80" s="542" t="s">
        <v>1006</v>
      </c>
      <c r="D80" s="542"/>
      <c r="E80" s="598"/>
      <c r="F80" s="542" t="s">
        <v>1001</v>
      </c>
      <c r="G80" s="548">
        <v>100</v>
      </c>
      <c r="H80" s="548"/>
      <c r="I80" s="548"/>
      <c r="J80" s="548"/>
      <c r="K80" s="548">
        <v>94</v>
      </c>
      <c r="L80" s="548"/>
      <c r="M80" s="548"/>
      <c r="N80" s="549"/>
      <c r="O80" s="548"/>
      <c r="P80" s="548">
        <v>94</v>
      </c>
      <c r="Q80" s="548">
        <f>P80-W80</f>
        <v>70.5</v>
      </c>
      <c r="R80" s="549"/>
      <c r="S80" s="548"/>
      <c r="T80" s="549"/>
      <c r="U80" s="549"/>
      <c r="V80" s="548">
        <v>71</v>
      </c>
      <c r="W80" s="548">
        <f>K80*0.25</f>
        <v>23.5</v>
      </c>
      <c r="X80" s="600"/>
      <c r="Y80" s="600"/>
      <c r="Z80" s="600"/>
      <c r="AA80" s="600"/>
      <c r="AB80" s="568"/>
      <c r="AC80" s="568"/>
      <c r="AD80" s="568"/>
      <c r="AE80" s="601"/>
      <c r="AF80" s="552"/>
      <c r="AG80" s="552"/>
      <c r="AH80" s="552"/>
      <c r="AI80" s="43"/>
      <c r="AJ80" s="553"/>
      <c r="AK80" s="553"/>
      <c r="AL80" s="553"/>
      <c r="AM80" s="553"/>
      <c r="AN80" s="553"/>
      <c r="AO80" s="553"/>
      <c r="AP80" s="553"/>
      <c r="AQ80" s="553"/>
      <c r="AR80" s="43"/>
      <c r="AS80" s="553"/>
      <c r="AT80" s="553"/>
      <c r="AU80" s="553"/>
      <c r="AV80" s="553"/>
      <c r="AW80" s="553"/>
      <c r="AX80" s="553"/>
      <c r="AY80" s="553"/>
      <c r="AZ80" s="553"/>
      <c r="BA80" s="43"/>
      <c r="BB80" s="553"/>
      <c r="BC80" s="553"/>
      <c r="BD80" s="553"/>
      <c r="BE80" s="553"/>
      <c r="BF80" s="553"/>
      <c r="BG80" s="553"/>
      <c r="BH80" s="553"/>
      <c r="BI80" s="553"/>
      <c r="BJ80" s="43"/>
      <c r="BK80" s="553"/>
      <c r="BL80" s="553"/>
      <c r="BM80" s="553"/>
      <c r="BN80" s="553"/>
      <c r="BO80" s="553"/>
      <c r="BP80" s="553"/>
      <c r="BQ80" s="553"/>
      <c r="BR80" s="553"/>
      <c r="BS80" s="43"/>
      <c r="BT80" s="553"/>
      <c r="BU80" s="553"/>
      <c r="BV80" s="553"/>
      <c r="BW80" s="553"/>
      <c r="BX80" s="553"/>
      <c r="BY80" s="553"/>
      <c r="BZ80" s="553"/>
      <c r="CA80" s="553"/>
      <c r="CB80" s="553"/>
      <c r="CC80" s="553"/>
      <c r="CD80" s="553"/>
      <c r="CE80" s="553"/>
      <c r="CF80" s="553"/>
      <c r="CG80" s="553"/>
      <c r="CH80" s="553"/>
      <c r="CI80" s="553"/>
      <c r="CJ80" s="553"/>
      <c r="CK80" s="553"/>
      <c r="CL80" s="553"/>
      <c r="CM80" s="553"/>
      <c r="CN80" s="553"/>
      <c r="CO80" s="553"/>
      <c r="CP80" s="553"/>
      <c r="CQ80" s="553"/>
      <c r="CR80" s="553"/>
      <c r="CS80" s="553"/>
      <c r="CT80" s="553"/>
      <c r="CU80" s="553"/>
      <c r="CV80" s="553"/>
      <c r="CW80" s="553"/>
      <c r="CX80" s="553"/>
      <c r="CY80" s="553"/>
      <c r="CZ80" s="553"/>
      <c r="DA80" s="553"/>
      <c r="DB80" s="553"/>
      <c r="DC80" s="553"/>
      <c r="DD80" s="553"/>
      <c r="DE80" s="553"/>
      <c r="DF80" s="556"/>
      <c r="DG80" s="553"/>
      <c r="DH80" s="553"/>
      <c r="DI80" s="553"/>
      <c r="DJ80" s="553"/>
      <c r="DK80" s="553"/>
      <c r="DL80" s="553"/>
      <c r="DM80" s="553"/>
      <c r="DN80" s="553"/>
      <c r="DO80" s="553"/>
      <c r="DP80" s="553"/>
      <c r="DQ80" s="553"/>
      <c r="DR80" s="553"/>
      <c r="DS80" s="553"/>
      <c r="DT80" s="553"/>
      <c r="DU80" s="553"/>
      <c r="DV80" s="553"/>
      <c r="DW80" s="553"/>
      <c r="DX80" s="553"/>
      <c r="DY80" s="553"/>
      <c r="DZ80" s="553"/>
      <c r="EA80" s="553"/>
      <c r="EB80" s="553"/>
      <c r="EC80" s="553"/>
      <c r="ED80" s="553"/>
      <c r="EE80" s="553"/>
      <c r="EF80" s="553"/>
      <c r="EG80" s="553"/>
      <c r="EH80" s="553"/>
      <c r="EI80" s="553"/>
      <c r="EJ80" s="553"/>
      <c r="EK80" s="553"/>
      <c r="EL80" s="553"/>
    </row>
    <row r="81" spans="1:142" s="44" customFormat="1" ht="40.5" customHeight="1">
      <c r="A81" s="542">
        <v>6</v>
      </c>
      <c r="B81" s="881"/>
      <c r="C81" s="603" t="s">
        <v>1007</v>
      </c>
      <c r="D81" s="542"/>
      <c r="E81" s="598"/>
      <c r="F81" s="542" t="s">
        <v>1001</v>
      </c>
      <c r="G81" s="548">
        <v>0.89</v>
      </c>
      <c r="H81" s="548"/>
      <c r="I81" s="548"/>
      <c r="J81" s="548"/>
      <c r="K81" s="548">
        <v>0.75</v>
      </c>
      <c r="L81" s="548"/>
      <c r="M81" s="548"/>
      <c r="N81" s="549"/>
      <c r="O81" s="548"/>
      <c r="P81" s="548"/>
      <c r="Q81" s="548"/>
      <c r="R81" s="549"/>
      <c r="S81" s="548"/>
      <c r="T81" s="549"/>
      <c r="U81" s="549"/>
      <c r="V81" s="548"/>
      <c r="W81" s="548"/>
      <c r="X81" s="600"/>
      <c r="Y81" s="600"/>
      <c r="Z81" s="600"/>
      <c r="AA81" s="600"/>
      <c r="AB81" s="568"/>
      <c r="AC81" s="568"/>
      <c r="AD81" s="568"/>
      <c r="AE81" s="601"/>
      <c r="AF81" s="552"/>
      <c r="AG81" s="552"/>
      <c r="AH81" s="552"/>
      <c r="AI81" s="43"/>
      <c r="AJ81" s="553"/>
      <c r="AK81" s="553"/>
      <c r="AL81" s="553"/>
      <c r="AM81" s="553"/>
      <c r="AN81" s="553"/>
      <c r="AO81" s="553"/>
      <c r="AP81" s="553"/>
      <c r="AQ81" s="553"/>
      <c r="AR81" s="43"/>
      <c r="AS81" s="553"/>
      <c r="AT81" s="553"/>
      <c r="AU81" s="553"/>
      <c r="AV81" s="553"/>
      <c r="AW81" s="553"/>
      <c r="AX81" s="553"/>
      <c r="AY81" s="553"/>
      <c r="AZ81" s="553"/>
      <c r="BA81" s="43"/>
      <c r="BB81" s="553"/>
      <c r="BC81" s="553"/>
      <c r="BD81" s="553"/>
      <c r="BE81" s="553"/>
      <c r="BF81" s="553"/>
      <c r="BG81" s="553"/>
      <c r="BH81" s="553"/>
      <c r="BI81" s="553"/>
      <c r="BJ81" s="43"/>
      <c r="BK81" s="553"/>
      <c r="BL81" s="553"/>
      <c r="BM81" s="553"/>
      <c r="BN81" s="553"/>
      <c r="BO81" s="553"/>
      <c r="BP81" s="553"/>
      <c r="BQ81" s="553"/>
      <c r="BR81" s="553"/>
      <c r="BS81" s="43"/>
      <c r="BT81" s="553"/>
      <c r="BU81" s="553"/>
      <c r="BV81" s="553"/>
      <c r="BW81" s="553"/>
      <c r="BX81" s="553"/>
      <c r="BY81" s="553"/>
      <c r="BZ81" s="553"/>
      <c r="CA81" s="553"/>
      <c r="CB81" s="553"/>
      <c r="CC81" s="553"/>
      <c r="CD81" s="553"/>
      <c r="CE81" s="553"/>
      <c r="CF81" s="553"/>
      <c r="CG81" s="553"/>
      <c r="CH81" s="553"/>
      <c r="CI81" s="553"/>
      <c r="CJ81" s="553"/>
      <c r="CK81" s="553"/>
      <c r="CL81" s="553"/>
      <c r="CM81" s="553"/>
      <c r="CN81" s="553"/>
      <c r="CO81" s="553"/>
      <c r="CP81" s="553"/>
      <c r="CQ81" s="553"/>
      <c r="CR81" s="553"/>
      <c r="CS81" s="553"/>
      <c r="CT81" s="553"/>
      <c r="CU81" s="553"/>
      <c r="CV81" s="553"/>
      <c r="CW81" s="553"/>
      <c r="CX81" s="553"/>
      <c r="CY81" s="553"/>
      <c r="CZ81" s="553"/>
      <c r="DA81" s="553"/>
      <c r="DB81" s="553"/>
      <c r="DC81" s="553"/>
      <c r="DD81" s="553"/>
      <c r="DE81" s="553"/>
      <c r="DF81" s="556"/>
      <c r="DG81" s="553"/>
      <c r="DH81" s="553"/>
      <c r="DI81" s="553"/>
      <c r="DJ81" s="553"/>
      <c r="DK81" s="553"/>
      <c r="DL81" s="553"/>
      <c r="DM81" s="553"/>
      <c r="DN81" s="553"/>
      <c r="DO81" s="553"/>
      <c r="DP81" s="553"/>
      <c r="DQ81" s="553"/>
      <c r="DR81" s="553"/>
      <c r="DS81" s="553"/>
      <c r="DT81" s="553"/>
      <c r="DU81" s="553"/>
      <c r="DV81" s="553"/>
      <c r="DW81" s="553"/>
      <c r="DX81" s="553"/>
      <c r="DY81" s="553"/>
      <c r="DZ81" s="553"/>
      <c r="EA81" s="553"/>
      <c r="EB81" s="553"/>
      <c r="EC81" s="553"/>
      <c r="ED81" s="553"/>
      <c r="EE81" s="553"/>
      <c r="EF81" s="553"/>
      <c r="EG81" s="553"/>
      <c r="EH81" s="553"/>
      <c r="EI81" s="553"/>
      <c r="EJ81" s="553"/>
      <c r="EK81" s="553"/>
      <c r="EL81" s="553"/>
    </row>
    <row r="82" spans="1:142" s="44" customFormat="1" ht="40.5" customHeight="1">
      <c r="A82" s="542">
        <v>7</v>
      </c>
      <c r="B82" s="881"/>
      <c r="C82" s="603" t="s">
        <v>1008</v>
      </c>
      <c r="D82" s="542"/>
      <c r="E82" s="598"/>
      <c r="F82" s="542" t="s">
        <v>1001</v>
      </c>
      <c r="G82" s="548">
        <v>2</v>
      </c>
      <c r="H82" s="548"/>
      <c r="I82" s="548"/>
      <c r="J82" s="548"/>
      <c r="K82" s="548">
        <v>2</v>
      </c>
      <c r="L82" s="548"/>
      <c r="M82" s="548"/>
      <c r="N82" s="549"/>
      <c r="O82" s="548"/>
      <c r="P82" s="548"/>
      <c r="Q82" s="548"/>
      <c r="R82" s="549"/>
      <c r="S82" s="548"/>
      <c r="T82" s="549"/>
      <c r="U82" s="549"/>
      <c r="V82" s="548"/>
      <c r="W82" s="548"/>
      <c r="X82" s="600"/>
      <c r="Y82" s="600"/>
      <c r="Z82" s="600"/>
      <c r="AA82" s="600"/>
      <c r="AB82" s="568"/>
      <c r="AC82" s="568"/>
      <c r="AD82" s="568"/>
      <c r="AE82" s="601"/>
      <c r="AF82" s="552"/>
      <c r="AG82" s="552"/>
      <c r="AH82" s="552"/>
      <c r="AI82" s="43"/>
      <c r="AJ82" s="553"/>
      <c r="AK82" s="553"/>
      <c r="AL82" s="553"/>
      <c r="AM82" s="553"/>
      <c r="AN82" s="553"/>
      <c r="AO82" s="553"/>
      <c r="AP82" s="553"/>
      <c r="AQ82" s="553"/>
      <c r="AR82" s="43"/>
      <c r="AS82" s="553"/>
      <c r="AT82" s="553"/>
      <c r="AU82" s="553"/>
      <c r="AV82" s="553"/>
      <c r="AW82" s="553"/>
      <c r="AX82" s="553"/>
      <c r="AY82" s="553"/>
      <c r="AZ82" s="553"/>
      <c r="BA82" s="43"/>
      <c r="BB82" s="553"/>
      <c r="BC82" s="553"/>
      <c r="BD82" s="553"/>
      <c r="BE82" s="553"/>
      <c r="BF82" s="553"/>
      <c r="BG82" s="553"/>
      <c r="BH82" s="553"/>
      <c r="BI82" s="553"/>
      <c r="BJ82" s="43"/>
      <c r="BK82" s="553"/>
      <c r="BL82" s="553"/>
      <c r="BM82" s="553"/>
      <c r="BN82" s="553"/>
      <c r="BO82" s="553"/>
      <c r="BP82" s="553"/>
      <c r="BQ82" s="553"/>
      <c r="BR82" s="553"/>
      <c r="BS82" s="43"/>
      <c r="BT82" s="553"/>
      <c r="BU82" s="553"/>
      <c r="BV82" s="553"/>
      <c r="BW82" s="553"/>
      <c r="BX82" s="553"/>
      <c r="BY82" s="553"/>
      <c r="BZ82" s="553"/>
      <c r="CA82" s="553"/>
      <c r="CB82" s="553"/>
      <c r="CC82" s="553"/>
      <c r="CD82" s="553"/>
      <c r="CE82" s="553"/>
      <c r="CF82" s="553"/>
      <c r="CG82" s="553"/>
      <c r="CH82" s="553"/>
      <c r="CI82" s="553"/>
      <c r="CJ82" s="553"/>
      <c r="CK82" s="553"/>
      <c r="CL82" s="553"/>
      <c r="CM82" s="553"/>
      <c r="CN82" s="553"/>
      <c r="CO82" s="553"/>
      <c r="CP82" s="553"/>
      <c r="CQ82" s="553"/>
      <c r="CR82" s="553"/>
      <c r="CS82" s="553"/>
      <c r="CT82" s="553"/>
      <c r="CU82" s="553"/>
      <c r="CV82" s="553"/>
      <c r="CW82" s="553"/>
      <c r="CX82" s="553"/>
      <c r="CY82" s="553"/>
      <c r="CZ82" s="553"/>
      <c r="DA82" s="553"/>
      <c r="DB82" s="553"/>
      <c r="DC82" s="553"/>
      <c r="DD82" s="553"/>
      <c r="DE82" s="553"/>
      <c r="DF82" s="556"/>
      <c r="DG82" s="553"/>
      <c r="DH82" s="553"/>
      <c r="DI82" s="553"/>
      <c r="DJ82" s="553"/>
      <c r="DK82" s="553"/>
      <c r="DL82" s="553"/>
      <c r="DM82" s="553"/>
      <c r="DN82" s="553"/>
      <c r="DO82" s="553"/>
      <c r="DP82" s="553"/>
      <c r="DQ82" s="553"/>
      <c r="DR82" s="553"/>
      <c r="DS82" s="553"/>
      <c r="DT82" s="553"/>
      <c r="DU82" s="553"/>
      <c r="DV82" s="553"/>
      <c r="DW82" s="553"/>
      <c r="DX82" s="553"/>
      <c r="DY82" s="553"/>
      <c r="DZ82" s="553"/>
      <c r="EA82" s="553"/>
      <c r="EB82" s="553"/>
      <c r="EC82" s="553"/>
      <c r="ED82" s="553"/>
      <c r="EE82" s="553"/>
      <c r="EF82" s="553"/>
      <c r="EG82" s="553"/>
      <c r="EH82" s="553"/>
      <c r="EI82" s="553"/>
      <c r="EJ82" s="553"/>
      <c r="EK82" s="553"/>
      <c r="EL82" s="553"/>
    </row>
    <row r="83" spans="1:142" s="44" customFormat="1" ht="45" customHeight="1">
      <c r="A83" s="542">
        <v>8</v>
      </c>
      <c r="B83" s="820"/>
      <c r="C83" s="603" t="s">
        <v>1009</v>
      </c>
      <c r="D83" s="542"/>
      <c r="E83" s="598"/>
      <c r="F83" s="542" t="s">
        <v>1001</v>
      </c>
      <c r="G83" s="548">
        <v>4</v>
      </c>
      <c r="H83" s="548"/>
      <c r="I83" s="548"/>
      <c r="J83" s="548"/>
      <c r="K83" s="548">
        <v>4</v>
      </c>
      <c r="L83" s="548"/>
      <c r="M83" s="548"/>
      <c r="N83" s="549"/>
      <c r="O83" s="548"/>
      <c r="P83" s="548"/>
      <c r="Q83" s="548"/>
      <c r="R83" s="549"/>
      <c r="S83" s="548"/>
      <c r="T83" s="549"/>
      <c r="U83" s="549"/>
      <c r="V83" s="548"/>
      <c r="W83" s="548"/>
      <c r="X83" s="600"/>
      <c r="Y83" s="600"/>
      <c r="Z83" s="600"/>
      <c r="AA83" s="600"/>
      <c r="AB83" s="568"/>
      <c r="AC83" s="568"/>
      <c r="AD83" s="568"/>
      <c r="AE83" s="601"/>
      <c r="AF83" s="552"/>
      <c r="AG83" s="552"/>
      <c r="AH83" s="552"/>
      <c r="AI83" s="43"/>
      <c r="AJ83" s="553"/>
      <c r="AK83" s="553"/>
      <c r="AL83" s="553"/>
      <c r="AM83" s="553"/>
      <c r="AN83" s="553"/>
      <c r="AO83" s="553"/>
      <c r="AP83" s="553"/>
      <c r="AQ83" s="553"/>
      <c r="AR83" s="43"/>
      <c r="AS83" s="553"/>
      <c r="AT83" s="553"/>
      <c r="AU83" s="553"/>
      <c r="AV83" s="553"/>
      <c r="AW83" s="553"/>
      <c r="AX83" s="553"/>
      <c r="AY83" s="553"/>
      <c r="AZ83" s="553"/>
      <c r="BA83" s="43"/>
      <c r="BB83" s="553"/>
      <c r="BC83" s="553"/>
      <c r="BD83" s="553"/>
      <c r="BE83" s="553"/>
      <c r="BF83" s="553"/>
      <c r="BG83" s="553"/>
      <c r="BH83" s="553"/>
      <c r="BI83" s="553"/>
      <c r="BJ83" s="43"/>
      <c r="BK83" s="553"/>
      <c r="BL83" s="553"/>
      <c r="BM83" s="553"/>
      <c r="BN83" s="553"/>
      <c r="BO83" s="553"/>
      <c r="BP83" s="553"/>
      <c r="BQ83" s="553"/>
      <c r="BR83" s="553"/>
      <c r="BS83" s="43"/>
      <c r="BT83" s="553"/>
      <c r="BU83" s="553"/>
      <c r="BV83" s="553"/>
      <c r="BW83" s="553"/>
      <c r="BX83" s="553"/>
      <c r="BY83" s="553"/>
      <c r="BZ83" s="553"/>
      <c r="CA83" s="553"/>
      <c r="CB83" s="553"/>
      <c r="CC83" s="553"/>
      <c r="CD83" s="553"/>
      <c r="CE83" s="553"/>
      <c r="CF83" s="553"/>
      <c r="CG83" s="553"/>
      <c r="CH83" s="553"/>
      <c r="CI83" s="553"/>
      <c r="CJ83" s="553"/>
      <c r="CK83" s="553"/>
      <c r="CL83" s="553"/>
      <c r="CM83" s="553"/>
      <c r="CN83" s="553"/>
      <c r="CO83" s="553"/>
      <c r="CP83" s="553"/>
      <c r="CQ83" s="553"/>
      <c r="CR83" s="553"/>
      <c r="CS83" s="553"/>
      <c r="CT83" s="553"/>
      <c r="CU83" s="553"/>
      <c r="CV83" s="553"/>
      <c r="CW83" s="553"/>
      <c r="CX83" s="553"/>
      <c r="CY83" s="553"/>
      <c r="CZ83" s="553"/>
      <c r="DA83" s="553"/>
      <c r="DB83" s="553"/>
      <c r="DC83" s="553"/>
      <c r="DD83" s="553"/>
      <c r="DE83" s="553"/>
      <c r="DF83" s="556"/>
      <c r="DG83" s="553"/>
      <c r="DH83" s="553"/>
      <c r="DI83" s="553"/>
      <c r="DJ83" s="553"/>
      <c r="DK83" s="553"/>
      <c r="DL83" s="553"/>
      <c r="DM83" s="553"/>
      <c r="DN83" s="553"/>
      <c r="DO83" s="553"/>
      <c r="DP83" s="553"/>
      <c r="DQ83" s="553"/>
      <c r="DR83" s="553"/>
      <c r="DS83" s="553"/>
      <c r="DT83" s="553"/>
      <c r="DU83" s="553"/>
      <c r="DV83" s="553"/>
      <c r="DW83" s="553"/>
      <c r="DX83" s="553"/>
      <c r="DY83" s="553"/>
      <c r="DZ83" s="553"/>
      <c r="EA83" s="553"/>
      <c r="EB83" s="553"/>
      <c r="EC83" s="553"/>
      <c r="ED83" s="553"/>
      <c r="EE83" s="553"/>
      <c r="EF83" s="553"/>
      <c r="EG83" s="553"/>
      <c r="EH83" s="553"/>
      <c r="EI83" s="553"/>
      <c r="EJ83" s="553"/>
      <c r="EK83" s="553"/>
      <c r="EL83" s="553"/>
    </row>
    <row r="84" spans="1:142" s="44" customFormat="1" ht="39" customHeight="1">
      <c r="A84" s="557">
        <v>5</v>
      </c>
      <c r="B84" s="856" t="s">
        <v>912</v>
      </c>
      <c r="C84" s="557" t="s">
        <v>1010</v>
      </c>
      <c r="D84" s="557"/>
      <c r="E84" s="605"/>
      <c r="F84" s="557" t="s">
        <v>1001</v>
      </c>
      <c r="G84" s="549">
        <v>95</v>
      </c>
      <c r="H84" s="549"/>
      <c r="I84" s="549"/>
      <c r="J84" s="549"/>
      <c r="K84" s="549">
        <f>95/1.06</f>
        <v>89.622641509433961</v>
      </c>
      <c r="L84" s="549"/>
      <c r="M84" s="549"/>
      <c r="N84" s="549"/>
      <c r="O84" s="549"/>
      <c r="P84" s="549">
        <v>89.622641509434004</v>
      </c>
      <c r="Q84" s="549">
        <f>K84-W84</f>
        <v>67.216981132075475</v>
      </c>
      <c r="R84" s="549"/>
      <c r="S84" s="549"/>
      <c r="T84" s="549"/>
      <c r="U84" s="549"/>
      <c r="V84" s="606">
        <v>67</v>
      </c>
      <c r="W84" s="549">
        <f>K84*0.25</f>
        <v>22.40566037735849</v>
      </c>
      <c r="X84" s="571"/>
      <c r="Y84" s="607"/>
      <c r="Z84" s="608"/>
      <c r="AA84" s="608"/>
      <c r="AB84" s="571"/>
      <c r="AC84" s="571"/>
      <c r="AD84" s="571"/>
      <c r="AE84" s="607"/>
      <c r="AF84" s="572"/>
      <c r="AG84" s="572"/>
      <c r="AH84" s="572"/>
      <c r="AI84" s="554"/>
      <c r="AJ84" s="553"/>
      <c r="AK84" s="553"/>
      <c r="AL84" s="553"/>
      <c r="AM84" s="553"/>
      <c r="AN84" s="553"/>
      <c r="AO84" s="553"/>
      <c r="AP84" s="553"/>
      <c r="AQ84" s="553"/>
      <c r="AR84" s="554"/>
      <c r="AS84" s="553"/>
      <c r="AT84" s="553"/>
      <c r="AU84" s="553"/>
      <c r="AV84" s="553"/>
      <c r="AW84" s="553"/>
      <c r="AX84" s="553"/>
      <c r="AY84" s="553"/>
      <c r="AZ84" s="553"/>
      <c r="BA84" s="554"/>
      <c r="BB84" s="553"/>
      <c r="BC84" s="553"/>
      <c r="BD84" s="553"/>
      <c r="BE84" s="553"/>
      <c r="BF84" s="553"/>
      <c r="BG84" s="553"/>
      <c r="BH84" s="553"/>
      <c r="BI84" s="553"/>
      <c r="BJ84" s="554"/>
      <c r="BK84" s="553"/>
      <c r="BL84" s="553"/>
      <c r="BM84" s="553"/>
      <c r="BN84" s="553"/>
      <c r="BO84" s="553"/>
      <c r="BP84" s="553"/>
      <c r="BQ84" s="553"/>
      <c r="BR84" s="553"/>
      <c r="BS84" s="609"/>
      <c r="BT84" s="562"/>
      <c r="BU84" s="562"/>
      <c r="BV84" s="562"/>
      <c r="BW84" s="562"/>
      <c r="BX84" s="562"/>
      <c r="BY84" s="562"/>
      <c r="BZ84" s="562"/>
      <c r="CA84" s="562"/>
      <c r="CB84" s="562"/>
      <c r="CC84" s="562"/>
      <c r="CD84" s="562"/>
      <c r="CE84" s="562"/>
      <c r="CF84" s="562"/>
      <c r="CG84" s="562"/>
      <c r="CH84" s="562"/>
      <c r="CI84" s="562"/>
      <c r="CJ84" s="562"/>
      <c r="CK84" s="562"/>
      <c r="CL84" s="562"/>
      <c r="CM84" s="562"/>
      <c r="CN84" s="562"/>
      <c r="CO84" s="562"/>
      <c r="CP84" s="562"/>
      <c r="CQ84" s="562"/>
      <c r="CR84" s="562"/>
      <c r="CS84" s="562"/>
      <c r="CT84" s="562"/>
      <c r="CU84" s="562"/>
      <c r="CV84" s="562"/>
      <c r="CW84" s="562"/>
      <c r="CX84" s="562"/>
      <c r="CY84" s="562"/>
      <c r="CZ84" s="562"/>
      <c r="DA84" s="562"/>
      <c r="DB84" s="562"/>
      <c r="DC84" s="562"/>
      <c r="DD84" s="562"/>
      <c r="DE84" s="562"/>
      <c r="DF84" s="563"/>
      <c r="DG84" s="562"/>
      <c r="DH84" s="562"/>
      <c r="DI84" s="562"/>
      <c r="DJ84" s="562"/>
      <c r="DK84" s="562"/>
      <c r="DL84" s="562"/>
      <c r="DM84" s="562"/>
      <c r="DN84" s="562"/>
      <c r="DO84" s="562"/>
      <c r="DP84" s="562"/>
      <c r="DQ84" s="562"/>
      <c r="DR84" s="562"/>
      <c r="DS84" s="562"/>
      <c r="DT84" s="562"/>
      <c r="DU84" s="562"/>
      <c r="DV84" s="562"/>
      <c r="DW84" s="562"/>
      <c r="DX84" s="562"/>
      <c r="DY84" s="562"/>
      <c r="DZ84" s="562"/>
      <c r="EA84" s="562"/>
      <c r="EB84" s="562"/>
      <c r="EC84" s="562"/>
      <c r="ED84" s="562"/>
      <c r="EE84" s="562"/>
      <c r="EF84" s="562"/>
      <c r="EG84" s="562"/>
      <c r="EH84" s="562"/>
      <c r="EI84" s="562"/>
      <c r="EJ84" s="562"/>
      <c r="EK84" s="562"/>
      <c r="EL84" s="562"/>
    </row>
    <row r="85" spans="1:142" s="44" customFormat="1" ht="39" customHeight="1">
      <c r="A85" s="557">
        <v>6</v>
      </c>
      <c r="B85" s="807"/>
      <c r="C85" s="557" t="s">
        <v>1011</v>
      </c>
      <c r="D85" s="557"/>
      <c r="E85" s="605"/>
      <c r="F85" s="557" t="s">
        <v>1001</v>
      </c>
      <c r="G85" s="549">
        <v>3</v>
      </c>
      <c r="H85" s="549"/>
      <c r="I85" s="549"/>
      <c r="J85" s="549"/>
      <c r="K85" s="549">
        <f>L85+P85</f>
        <v>2.7199999999999998</v>
      </c>
      <c r="L85" s="549">
        <v>1.59</v>
      </c>
      <c r="M85" s="549"/>
      <c r="N85" s="549"/>
      <c r="O85" s="549"/>
      <c r="P85" s="549">
        <v>1.1299999999999999</v>
      </c>
      <c r="Q85" s="549">
        <f>K85-W85</f>
        <v>2.04</v>
      </c>
      <c r="R85" s="549">
        <f>0.544*3</f>
        <v>1.6320000000000001</v>
      </c>
      <c r="S85" s="549"/>
      <c r="T85" s="549"/>
      <c r="U85" s="549"/>
      <c r="V85" s="549"/>
      <c r="W85" s="549">
        <f>K85*0.25</f>
        <v>0.67999999999999994</v>
      </c>
      <c r="X85" s="571"/>
      <c r="Y85" s="607"/>
      <c r="Z85" s="608"/>
      <c r="AA85" s="608"/>
      <c r="AB85" s="571"/>
      <c r="AC85" s="571"/>
      <c r="AD85" s="571"/>
      <c r="AE85" s="607"/>
      <c r="AF85" s="572"/>
      <c r="AG85" s="572"/>
      <c r="AH85" s="572"/>
      <c r="AI85" s="554"/>
      <c r="AJ85" s="553"/>
      <c r="AK85" s="553"/>
      <c r="AL85" s="553"/>
      <c r="AM85" s="553"/>
      <c r="AN85" s="553"/>
      <c r="AO85" s="553"/>
      <c r="AP85" s="553"/>
      <c r="AQ85" s="553"/>
      <c r="AR85" s="554"/>
      <c r="AS85" s="553"/>
      <c r="AT85" s="553"/>
      <c r="AU85" s="553"/>
      <c r="AV85" s="553"/>
      <c r="AW85" s="553"/>
      <c r="AX85" s="553"/>
      <c r="AY85" s="553"/>
      <c r="AZ85" s="553"/>
      <c r="BA85" s="554"/>
      <c r="BB85" s="553"/>
      <c r="BC85" s="553"/>
      <c r="BD85" s="553"/>
      <c r="BE85" s="553"/>
      <c r="BF85" s="553"/>
      <c r="BG85" s="553"/>
      <c r="BH85" s="553"/>
      <c r="BI85" s="553"/>
      <c r="BJ85" s="554"/>
      <c r="BK85" s="553"/>
      <c r="BL85" s="553"/>
      <c r="BM85" s="553"/>
      <c r="BN85" s="553"/>
      <c r="BO85" s="553"/>
      <c r="BP85" s="553"/>
      <c r="BQ85" s="553"/>
      <c r="BR85" s="553"/>
      <c r="BS85" s="609"/>
      <c r="BT85" s="562"/>
      <c r="BU85" s="562"/>
      <c r="BV85" s="562"/>
      <c r="BW85" s="562"/>
      <c r="BX85" s="562"/>
      <c r="BY85" s="562"/>
      <c r="BZ85" s="562"/>
      <c r="CA85" s="562"/>
      <c r="CB85" s="562"/>
      <c r="CC85" s="562"/>
      <c r="CD85" s="562"/>
      <c r="CE85" s="562"/>
      <c r="CF85" s="562"/>
      <c r="CG85" s="562"/>
      <c r="CH85" s="562"/>
      <c r="CI85" s="562"/>
      <c r="CJ85" s="562"/>
      <c r="CK85" s="562"/>
      <c r="CL85" s="562"/>
      <c r="CM85" s="562"/>
      <c r="CN85" s="562"/>
      <c r="CO85" s="562"/>
      <c r="CP85" s="562"/>
      <c r="CQ85" s="562"/>
      <c r="CR85" s="562"/>
      <c r="CS85" s="562"/>
      <c r="CT85" s="562"/>
      <c r="CU85" s="562"/>
      <c r="CV85" s="562"/>
      <c r="CW85" s="562"/>
      <c r="CX85" s="562"/>
      <c r="CY85" s="562"/>
      <c r="CZ85" s="562"/>
      <c r="DA85" s="562"/>
      <c r="DB85" s="562"/>
      <c r="DC85" s="562"/>
      <c r="DD85" s="562"/>
      <c r="DE85" s="562"/>
      <c r="DF85" s="563"/>
      <c r="DG85" s="562"/>
      <c r="DH85" s="562"/>
      <c r="DI85" s="562"/>
      <c r="DJ85" s="562"/>
      <c r="DK85" s="562"/>
      <c r="DL85" s="562"/>
      <c r="DM85" s="562"/>
      <c r="DN85" s="562"/>
      <c r="DO85" s="562"/>
      <c r="DP85" s="562"/>
      <c r="DQ85" s="562"/>
      <c r="DR85" s="562"/>
      <c r="DS85" s="562"/>
      <c r="DT85" s="562"/>
      <c r="DU85" s="562"/>
      <c r="DV85" s="562"/>
      <c r="DW85" s="562"/>
      <c r="DX85" s="562"/>
      <c r="DY85" s="562"/>
      <c r="DZ85" s="562"/>
      <c r="EA85" s="562"/>
      <c r="EB85" s="562"/>
      <c r="EC85" s="562"/>
      <c r="ED85" s="562"/>
      <c r="EE85" s="562"/>
      <c r="EF85" s="562"/>
      <c r="EG85" s="562"/>
      <c r="EH85" s="562"/>
      <c r="EI85" s="562"/>
      <c r="EJ85" s="562"/>
      <c r="EK85" s="562"/>
      <c r="EL85" s="562"/>
    </row>
    <row r="86" spans="1:142" s="44" customFormat="1" ht="39" customHeight="1">
      <c r="A86" s="557">
        <v>7</v>
      </c>
      <c r="B86" s="807"/>
      <c r="C86" s="557" t="s">
        <v>1012</v>
      </c>
      <c r="D86" s="557"/>
      <c r="E86" s="605"/>
      <c r="F86" s="557" t="s">
        <v>1001</v>
      </c>
      <c r="G86" s="549">
        <v>1196</v>
      </c>
      <c r="H86" s="549"/>
      <c r="I86" s="549"/>
      <c r="J86" s="549"/>
      <c r="K86" s="549">
        <f>400/1.06</f>
        <v>377.35849056603774</v>
      </c>
      <c r="L86" s="549"/>
      <c r="M86" s="549"/>
      <c r="N86" s="549"/>
      <c r="O86" s="549"/>
      <c r="P86" s="549">
        <v>377.35849056603797</v>
      </c>
      <c r="Q86" s="549">
        <f>K86-W86</f>
        <v>283.01886792452831</v>
      </c>
      <c r="R86" s="549"/>
      <c r="S86" s="549"/>
      <c r="T86" s="549"/>
      <c r="U86" s="549"/>
      <c r="V86" s="549">
        <v>283</v>
      </c>
      <c r="W86" s="549">
        <f>K86*0.25</f>
        <v>94.339622641509436</v>
      </c>
      <c r="X86" s="571"/>
      <c r="Y86" s="607"/>
      <c r="Z86" s="608"/>
      <c r="AA86" s="608"/>
      <c r="AB86" s="571"/>
      <c r="AC86" s="571"/>
      <c r="AD86" s="571"/>
      <c r="AE86" s="607"/>
      <c r="AF86" s="572"/>
      <c r="AG86" s="572"/>
      <c r="AH86" s="572"/>
      <c r="AI86" s="554"/>
      <c r="AJ86" s="553"/>
      <c r="AK86" s="553"/>
      <c r="AL86" s="553"/>
      <c r="AM86" s="553"/>
      <c r="AN86" s="553"/>
      <c r="AO86" s="553"/>
      <c r="AP86" s="553"/>
      <c r="AQ86" s="553"/>
      <c r="AR86" s="554"/>
      <c r="AS86" s="553"/>
      <c r="AT86" s="553"/>
      <c r="AU86" s="553"/>
      <c r="AV86" s="553"/>
      <c r="AW86" s="553"/>
      <c r="AX86" s="553"/>
      <c r="AY86" s="553"/>
      <c r="AZ86" s="553"/>
      <c r="BA86" s="554"/>
      <c r="BB86" s="553"/>
      <c r="BC86" s="553"/>
      <c r="BD86" s="553"/>
      <c r="BE86" s="553"/>
      <c r="BF86" s="553"/>
      <c r="BG86" s="553"/>
      <c r="BH86" s="553"/>
      <c r="BI86" s="553"/>
      <c r="BJ86" s="554"/>
      <c r="BK86" s="553"/>
      <c r="BL86" s="553"/>
      <c r="BM86" s="553"/>
      <c r="BN86" s="553"/>
      <c r="BO86" s="553"/>
      <c r="BP86" s="553"/>
      <c r="BQ86" s="553"/>
      <c r="BR86" s="553"/>
      <c r="BS86" s="609"/>
      <c r="BT86" s="562"/>
      <c r="BU86" s="562"/>
      <c r="BV86" s="562"/>
      <c r="BW86" s="562"/>
      <c r="BX86" s="562"/>
      <c r="BY86" s="562"/>
      <c r="BZ86" s="562"/>
      <c r="CA86" s="562"/>
      <c r="CB86" s="562"/>
      <c r="CC86" s="562"/>
      <c r="CD86" s="562"/>
      <c r="CE86" s="562"/>
      <c r="CF86" s="562"/>
      <c r="CG86" s="562"/>
      <c r="CH86" s="562"/>
      <c r="CI86" s="562"/>
      <c r="CJ86" s="562"/>
      <c r="CK86" s="562"/>
      <c r="CL86" s="562"/>
      <c r="CM86" s="562"/>
      <c r="CN86" s="562"/>
      <c r="CO86" s="562"/>
      <c r="CP86" s="562"/>
      <c r="CQ86" s="562"/>
      <c r="CR86" s="562"/>
      <c r="CS86" s="562"/>
      <c r="CT86" s="562"/>
      <c r="CU86" s="562"/>
      <c r="CV86" s="562"/>
      <c r="CW86" s="562"/>
      <c r="CX86" s="562"/>
      <c r="CY86" s="562"/>
      <c r="CZ86" s="562"/>
      <c r="DA86" s="562"/>
      <c r="DB86" s="562"/>
      <c r="DC86" s="562"/>
      <c r="DD86" s="562"/>
      <c r="DE86" s="562"/>
      <c r="DF86" s="563"/>
      <c r="DG86" s="562"/>
      <c r="DH86" s="562"/>
      <c r="DI86" s="562"/>
      <c r="DJ86" s="562"/>
      <c r="DK86" s="562"/>
      <c r="DL86" s="562"/>
      <c r="DM86" s="562"/>
      <c r="DN86" s="562"/>
      <c r="DO86" s="562"/>
      <c r="DP86" s="562"/>
      <c r="DQ86" s="562"/>
      <c r="DR86" s="562"/>
      <c r="DS86" s="562"/>
      <c r="DT86" s="562"/>
      <c r="DU86" s="562"/>
      <c r="DV86" s="562"/>
      <c r="DW86" s="562"/>
      <c r="DX86" s="562"/>
      <c r="DY86" s="562"/>
      <c r="DZ86" s="562"/>
      <c r="EA86" s="562"/>
      <c r="EB86" s="562"/>
      <c r="EC86" s="562"/>
      <c r="ED86" s="562"/>
      <c r="EE86" s="562"/>
      <c r="EF86" s="562"/>
      <c r="EG86" s="562"/>
      <c r="EH86" s="562"/>
      <c r="EI86" s="562"/>
      <c r="EJ86" s="562"/>
      <c r="EK86" s="562"/>
      <c r="EL86" s="562"/>
    </row>
    <row r="87" spans="1:142" s="44" customFormat="1" ht="39" customHeight="1">
      <c r="A87" s="557">
        <v>8</v>
      </c>
      <c r="B87" s="807"/>
      <c r="C87" s="557" t="s">
        <v>1013</v>
      </c>
      <c r="D87" s="557"/>
      <c r="E87" s="605"/>
      <c r="F87" s="557" t="s">
        <v>1001</v>
      </c>
      <c r="G87" s="606">
        <v>118</v>
      </c>
      <c r="H87" s="549"/>
      <c r="I87" s="549"/>
      <c r="J87" s="549"/>
      <c r="K87" s="549">
        <f>118/1.06</f>
        <v>111.32075471698113</v>
      </c>
      <c r="L87" s="549"/>
      <c r="M87" s="549"/>
      <c r="N87" s="549"/>
      <c r="O87" s="549"/>
      <c r="P87" s="549">
        <v>111.320754716981</v>
      </c>
      <c r="Q87" s="549">
        <f>K87-W87</f>
        <v>83.490566037735846</v>
      </c>
      <c r="R87" s="549"/>
      <c r="S87" s="549"/>
      <c r="T87" s="549"/>
      <c r="U87" s="549"/>
      <c r="V87" s="606">
        <v>83</v>
      </c>
      <c r="W87" s="549">
        <f>K87*0.25</f>
        <v>27.830188679245282</v>
      </c>
      <c r="X87" s="571"/>
      <c r="Y87" s="607"/>
      <c r="Z87" s="608"/>
      <c r="AA87" s="608"/>
      <c r="AB87" s="571"/>
      <c r="AC87" s="571"/>
      <c r="AD87" s="571"/>
      <c r="AE87" s="607"/>
      <c r="AF87" s="572"/>
      <c r="AG87" s="572"/>
      <c r="AH87" s="572"/>
      <c r="AI87" s="554"/>
      <c r="AJ87" s="553"/>
      <c r="AK87" s="553"/>
      <c r="AL87" s="553"/>
      <c r="AM87" s="553"/>
      <c r="AN87" s="553"/>
      <c r="AO87" s="553"/>
      <c r="AP87" s="553"/>
      <c r="AQ87" s="553"/>
      <c r="AR87" s="554"/>
      <c r="AS87" s="553"/>
      <c r="AT87" s="553"/>
      <c r="AU87" s="553"/>
      <c r="AV87" s="553"/>
      <c r="AW87" s="553"/>
      <c r="AX87" s="553"/>
      <c r="AY87" s="553"/>
      <c r="AZ87" s="553"/>
      <c r="BA87" s="554"/>
      <c r="BB87" s="553"/>
      <c r="BC87" s="553"/>
      <c r="BD87" s="553"/>
      <c r="BE87" s="553"/>
      <c r="BF87" s="553"/>
      <c r="BG87" s="553"/>
      <c r="BH87" s="553"/>
      <c r="BI87" s="553"/>
      <c r="BJ87" s="554"/>
      <c r="BK87" s="553"/>
      <c r="BL87" s="553"/>
      <c r="BM87" s="553"/>
      <c r="BN87" s="553"/>
      <c r="BO87" s="553"/>
      <c r="BP87" s="553"/>
      <c r="BQ87" s="553"/>
      <c r="BR87" s="553"/>
      <c r="BS87" s="609"/>
      <c r="BT87" s="562"/>
      <c r="BU87" s="562"/>
      <c r="BV87" s="562"/>
      <c r="BW87" s="562"/>
      <c r="BX87" s="562"/>
      <c r="BY87" s="562"/>
      <c r="BZ87" s="562"/>
      <c r="CA87" s="562"/>
      <c r="CB87" s="562"/>
      <c r="CC87" s="562"/>
      <c r="CD87" s="562"/>
      <c r="CE87" s="562"/>
      <c r="CF87" s="562"/>
      <c r="CG87" s="562"/>
      <c r="CH87" s="562"/>
      <c r="CI87" s="562"/>
      <c r="CJ87" s="562"/>
      <c r="CK87" s="562"/>
      <c r="CL87" s="562"/>
      <c r="CM87" s="562"/>
      <c r="CN87" s="562"/>
      <c r="CO87" s="562"/>
      <c r="CP87" s="562"/>
      <c r="CQ87" s="562"/>
      <c r="CR87" s="562"/>
      <c r="CS87" s="562"/>
      <c r="CT87" s="562"/>
      <c r="CU87" s="562"/>
      <c r="CV87" s="562"/>
      <c r="CW87" s="562"/>
      <c r="CX87" s="562"/>
      <c r="CY87" s="562"/>
      <c r="CZ87" s="562"/>
      <c r="DA87" s="562"/>
      <c r="DB87" s="562"/>
      <c r="DC87" s="562"/>
      <c r="DD87" s="562"/>
      <c r="DE87" s="562"/>
      <c r="DF87" s="563"/>
      <c r="DG87" s="562"/>
      <c r="DH87" s="562"/>
      <c r="DI87" s="562"/>
      <c r="DJ87" s="562"/>
      <c r="DK87" s="562"/>
      <c r="DL87" s="562"/>
      <c r="DM87" s="562"/>
      <c r="DN87" s="562"/>
      <c r="DO87" s="562"/>
      <c r="DP87" s="562"/>
      <c r="DQ87" s="562"/>
      <c r="DR87" s="562"/>
      <c r="DS87" s="562"/>
      <c r="DT87" s="562"/>
      <c r="DU87" s="562"/>
      <c r="DV87" s="562"/>
      <c r="DW87" s="562"/>
      <c r="DX87" s="562"/>
      <c r="DY87" s="562"/>
      <c r="DZ87" s="562"/>
      <c r="EA87" s="562"/>
      <c r="EB87" s="562"/>
      <c r="EC87" s="562"/>
      <c r="ED87" s="562"/>
      <c r="EE87" s="562"/>
      <c r="EF87" s="562"/>
      <c r="EG87" s="562"/>
      <c r="EH87" s="562"/>
      <c r="EI87" s="562"/>
      <c r="EJ87" s="562"/>
      <c r="EK87" s="562"/>
      <c r="EL87" s="562"/>
    </row>
    <row r="88" spans="1:142" s="44" customFormat="1" ht="39" customHeight="1">
      <c r="A88" s="557">
        <v>9</v>
      </c>
      <c r="B88" s="604"/>
      <c r="C88" s="557" t="s">
        <v>1014</v>
      </c>
      <c r="D88" s="557"/>
      <c r="E88" s="605"/>
      <c r="F88" s="557" t="s">
        <v>1001</v>
      </c>
      <c r="G88" s="549">
        <v>100</v>
      </c>
      <c r="H88" s="549"/>
      <c r="I88" s="549"/>
      <c r="J88" s="549"/>
      <c r="K88" s="549">
        <f>100/1.06</f>
        <v>94.339622641509436</v>
      </c>
      <c r="L88" s="549"/>
      <c r="M88" s="549"/>
      <c r="N88" s="549"/>
      <c r="O88" s="549"/>
      <c r="P88" s="549">
        <v>94.339622641509493</v>
      </c>
      <c r="Q88" s="549">
        <f>56/1.06</f>
        <v>52.830188679245282</v>
      </c>
      <c r="R88" s="549"/>
      <c r="S88" s="549"/>
      <c r="T88" s="549"/>
      <c r="U88" s="549"/>
      <c r="V88" s="549">
        <v>52.830188679245303</v>
      </c>
      <c r="W88" s="549">
        <f>K88*0.25</f>
        <v>23.584905660377359</v>
      </c>
      <c r="X88" s="571"/>
      <c r="Y88" s="607"/>
      <c r="Z88" s="608"/>
      <c r="AA88" s="608"/>
      <c r="AB88" s="571"/>
      <c r="AC88" s="571"/>
      <c r="AD88" s="571"/>
      <c r="AE88" s="607"/>
      <c r="AF88" s="572"/>
      <c r="AG88" s="572"/>
      <c r="AH88" s="572"/>
      <c r="AI88" s="554"/>
      <c r="AJ88" s="553"/>
      <c r="AK88" s="553"/>
      <c r="AL88" s="553"/>
      <c r="AM88" s="553"/>
      <c r="AN88" s="553"/>
      <c r="AO88" s="553"/>
      <c r="AP88" s="553"/>
      <c r="AQ88" s="553"/>
      <c r="AR88" s="554"/>
      <c r="AS88" s="553"/>
      <c r="AT88" s="553"/>
      <c r="AU88" s="553"/>
      <c r="AV88" s="553"/>
      <c r="AW88" s="553"/>
      <c r="AX88" s="553"/>
      <c r="AY88" s="553"/>
      <c r="AZ88" s="553"/>
      <c r="BA88" s="554"/>
      <c r="BB88" s="553"/>
      <c r="BC88" s="553"/>
      <c r="BD88" s="553"/>
      <c r="BE88" s="553"/>
      <c r="BF88" s="553"/>
      <c r="BG88" s="553"/>
      <c r="BH88" s="553"/>
      <c r="BI88" s="553"/>
      <c r="BJ88" s="554"/>
      <c r="BK88" s="553"/>
      <c r="BL88" s="553"/>
      <c r="BM88" s="553"/>
      <c r="BN88" s="553"/>
      <c r="BO88" s="553"/>
      <c r="BP88" s="553"/>
      <c r="BQ88" s="553"/>
      <c r="BR88" s="553"/>
      <c r="BS88" s="609"/>
      <c r="BT88" s="562"/>
      <c r="BU88" s="562"/>
      <c r="BV88" s="562"/>
      <c r="BW88" s="562"/>
      <c r="BX88" s="562"/>
      <c r="BY88" s="562"/>
      <c r="BZ88" s="562"/>
      <c r="CA88" s="562"/>
      <c r="CB88" s="562"/>
      <c r="CC88" s="562"/>
      <c r="CD88" s="562"/>
      <c r="CE88" s="562"/>
      <c r="CF88" s="562"/>
      <c r="CG88" s="562"/>
      <c r="CH88" s="562"/>
      <c r="CI88" s="562"/>
      <c r="CJ88" s="562"/>
      <c r="CK88" s="562"/>
      <c r="CL88" s="562"/>
      <c r="CM88" s="562"/>
      <c r="CN88" s="562"/>
      <c r="CO88" s="562"/>
      <c r="CP88" s="562"/>
      <c r="CQ88" s="562"/>
      <c r="CR88" s="562"/>
      <c r="CS88" s="562"/>
      <c r="CT88" s="562"/>
      <c r="CU88" s="562"/>
      <c r="CV88" s="562"/>
      <c r="CW88" s="562"/>
      <c r="CX88" s="562"/>
      <c r="CY88" s="562"/>
      <c r="CZ88" s="562"/>
      <c r="DA88" s="562"/>
      <c r="DB88" s="562"/>
      <c r="DC88" s="562"/>
      <c r="DD88" s="562"/>
      <c r="DE88" s="562"/>
      <c r="DF88" s="563"/>
      <c r="DG88" s="562"/>
      <c r="DH88" s="562"/>
      <c r="DI88" s="562"/>
      <c r="DJ88" s="562"/>
      <c r="DK88" s="562"/>
      <c r="DL88" s="562"/>
      <c r="DM88" s="562"/>
      <c r="DN88" s="562"/>
      <c r="DO88" s="562"/>
      <c r="DP88" s="562"/>
      <c r="DQ88" s="562"/>
      <c r="DR88" s="562"/>
      <c r="DS88" s="562"/>
      <c r="DT88" s="562"/>
      <c r="DU88" s="562"/>
      <c r="DV88" s="562"/>
      <c r="DW88" s="562"/>
      <c r="DX88" s="562"/>
      <c r="DY88" s="562"/>
      <c r="DZ88" s="562"/>
      <c r="EA88" s="562"/>
      <c r="EB88" s="562"/>
      <c r="EC88" s="562"/>
      <c r="ED88" s="562"/>
      <c r="EE88" s="562"/>
      <c r="EF88" s="562"/>
      <c r="EG88" s="562"/>
      <c r="EH88" s="562"/>
      <c r="EI88" s="562"/>
      <c r="EJ88" s="562"/>
      <c r="EK88" s="562"/>
      <c r="EL88" s="562"/>
    </row>
    <row r="89" spans="1:142" s="783" customFormat="1" ht="24" customHeight="1">
      <c r="A89" s="857" t="s">
        <v>1015</v>
      </c>
      <c r="B89" s="856"/>
      <c r="C89" s="858"/>
      <c r="D89" s="858"/>
      <c r="E89" s="859"/>
      <c r="F89" s="858"/>
      <c r="G89" s="523">
        <f t="shared" ref="G89:AL89" si="44">SUM(G76:G87)</f>
        <v>4218.8899999999994</v>
      </c>
      <c r="H89" s="523">
        <f t="shared" si="44"/>
        <v>0</v>
      </c>
      <c r="I89" s="523">
        <f t="shared" si="44"/>
        <v>0</v>
      </c>
      <c r="J89" s="523">
        <f t="shared" si="44"/>
        <v>0</v>
      </c>
      <c r="K89" s="523">
        <f t="shared" si="44"/>
        <v>2851.7218867924521</v>
      </c>
      <c r="L89" s="523">
        <f t="shared" si="44"/>
        <v>25.169999999999998</v>
      </c>
      <c r="M89" s="523">
        <f t="shared" si="44"/>
        <v>0</v>
      </c>
      <c r="N89" s="523">
        <f t="shared" si="44"/>
        <v>0</v>
      </c>
      <c r="O89" s="523">
        <f t="shared" si="44"/>
        <v>0</v>
      </c>
      <c r="P89" s="523">
        <f t="shared" si="44"/>
        <v>2819.8018867924525</v>
      </c>
      <c r="Q89" s="523">
        <f t="shared" si="44"/>
        <v>2133.7289150943398</v>
      </c>
      <c r="R89" s="523">
        <f t="shared" si="44"/>
        <v>18.497625000000003</v>
      </c>
      <c r="S89" s="523">
        <f t="shared" si="44"/>
        <v>0</v>
      </c>
      <c r="T89" s="523">
        <f t="shared" si="44"/>
        <v>0</v>
      </c>
      <c r="U89" s="523">
        <f t="shared" si="44"/>
        <v>0</v>
      </c>
      <c r="V89" s="523">
        <f t="shared" si="44"/>
        <v>2114.5968750000002</v>
      </c>
      <c r="W89" s="523">
        <f t="shared" si="44"/>
        <v>711.24297169811302</v>
      </c>
      <c r="X89" s="523">
        <f t="shared" si="44"/>
        <v>0</v>
      </c>
      <c r="Y89" s="523">
        <f t="shared" si="44"/>
        <v>0</v>
      </c>
      <c r="Z89" s="523">
        <f t="shared" si="44"/>
        <v>0</v>
      </c>
      <c r="AA89" s="523">
        <f t="shared" si="44"/>
        <v>0</v>
      </c>
      <c r="AB89" s="523">
        <f t="shared" si="44"/>
        <v>0</v>
      </c>
      <c r="AC89" s="523">
        <f t="shared" si="44"/>
        <v>0</v>
      </c>
      <c r="AD89" s="523">
        <f t="shared" si="44"/>
        <v>0</v>
      </c>
      <c r="AE89" s="523">
        <f t="shared" si="44"/>
        <v>0</v>
      </c>
      <c r="AF89" s="523">
        <f t="shared" si="44"/>
        <v>0</v>
      </c>
      <c r="AG89" s="523">
        <f t="shared" si="44"/>
        <v>0</v>
      </c>
      <c r="AH89" s="523">
        <f t="shared" si="44"/>
        <v>0</v>
      </c>
      <c r="AI89" s="522">
        <f t="shared" si="44"/>
        <v>0</v>
      </c>
      <c r="AJ89" s="522">
        <f t="shared" si="44"/>
        <v>0</v>
      </c>
      <c r="AK89" s="522">
        <f t="shared" si="44"/>
        <v>0</v>
      </c>
      <c r="AL89" s="522">
        <f t="shared" si="44"/>
        <v>0</v>
      </c>
      <c r="AM89" s="522">
        <f t="shared" ref="AM89:BR89" si="45">SUM(AM76:AM87)</f>
        <v>0</v>
      </c>
      <c r="AN89" s="522">
        <f t="shared" si="45"/>
        <v>0</v>
      </c>
      <c r="AO89" s="522">
        <f t="shared" si="45"/>
        <v>0</v>
      </c>
      <c r="AP89" s="522">
        <f t="shared" si="45"/>
        <v>0</v>
      </c>
      <c r="AQ89" s="522">
        <f t="shared" si="45"/>
        <v>0</v>
      </c>
      <c r="AR89" s="522">
        <f t="shared" si="45"/>
        <v>0</v>
      </c>
      <c r="AS89" s="522">
        <f t="shared" si="45"/>
        <v>0</v>
      </c>
      <c r="AT89" s="522">
        <f t="shared" si="45"/>
        <v>0</v>
      </c>
      <c r="AU89" s="522">
        <f t="shared" si="45"/>
        <v>0</v>
      </c>
      <c r="AV89" s="522">
        <f t="shared" si="45"/>
        <v>0</v>
      </c>
      <c r="AW89" s="522">
        <f t="shared" si="45"/>
        <v>0</v>
      </c>
      <c r="AX89" s="522">
        <f t="shared" si="45"/>
        <v>0</v>
      </c>
      <c r="AY89" s="522">
        <f t="shared" si="45"/>
        <v>0</v>
      </c>
      <c r="AZ89" s="522">
        <f t="shared" si="45"/>
        <v>0</v>
      </c>
      <c r="BA89" s="522">
        <f t="shared" si="45"/>
        <v>0</v>
      </c>
      <c r="BB89" s="522">
        <f t="shared" si="45"/>
        <v>0</v>
      </c>
      <c r="BC89" s="522">
        <f t="shared" si="45"/>
        <v>0</v>
      </c>
      <c r="BD89" s="522">
        <f t="shared" si="45"/>
        <v>0</v>
      </c>
      <c r="BE89" s="522">
        <f t="shared" si="45"/>
        <v>0</v>
      </c>
      <c r="BF89" s="522">
        <f t="shared" si="45"/>
        <v>0</v>
      </c>
      <c r="BG89" s="522">
        <f t="shared" si="45"/>
        <v>0</v>
      </c>
      <c r="BH89" s="522">
        <f t="shared" si="45"/>
        <v>0</v>
      </c>
      <c r="BI89" s="522">
        <f t="shared" si="45"/>
        <v>0</v>
      </c>
      <c r="BJ89" s="522">
        <f t="shared" si="45"/>
        <v>0</v>
      </c>
      <c r="BK89" s="522">
        <f t="shared" si="45"/>
        <v>0</v>
      </c>
      <c r="BL89" s="522">
        <f t="shared" si="45"/>
        <v>0</v>
      </c>
      <c r="BM89" s="522">
        <f t="shared" si="45"/>
        <v>0</v>
      </c>
      <c r="BN89" s="522">
        <f t="shared" si="45"/>
        <v>0</v>
      </c>
      <c r="BO89" s="522">
        <f t="shared" si="45"/>
        <v>0</v>
      </c>
      <c r="BP89" s="522">
        <f t="shared" si="45"/>
        <v>0</v>
      </c>
      <c r="BQ89" s="522">
        <f t="shared" si="45"/>
        <v>0</v>
      </c>
      <c r="BR89" s="522">
        <f t="shared" si="45"/>
        <v>0</v>
      </c>
      <c r="BS89" s="523">
        <f t="shared" ref="BS89:CX89" si="46">SUM(BS76:BS87)</f>
        <v>0</v>
      </c>
      <c r="BT89" s="523">
        <f t="shared" si="46"/>
        <v>0</v>
      </c>
      <c r="BU89" s="523">
        <f t="shared" si="46"/>
        <v>0</v>
      </c>
      <c r="BV89" s="523">
        <f t="shared" si="46"/>
        <v>0</v>
      </c>
      <c r="BW89" s="523">
        <f t="shared" si="46"/>
        <v>0</v>
      </c>
      <c r="BX89" s="523">
        <f t="shared" si="46"/>
        <v>0</v>
      </c>
      <c r="BY89" s="523">
        <f t="shared" si="46"/>
        <v>0</v>
      </c>
      <c r="BZ89" s="523">
        <f t="shared" si="46"/>
        <v>0</v>
      </c>
      <c r="CA89" s="523">
        <f t="shared" si="46"/>
        <v>0</v>
      </c>
      <c r="CB89" s="523">
        <f t="shared" si="46"/>
        <v>0</v>
      </c>
      <c r="CC89" s="523">
        <f t="shared" si="46"/>
        <v>0</v>
      </c>
      <c r="CD89" s="523">
        <f t="shared" si="46"/>
        <v>0</v>
      </c>
      <c r="CE89" s="523">
        <f t="shared" si="46"/>
        <v>0</v>
      </c>
      <c r="CF89" s="523">
        <f t="shared" si="46"/>
        <v>0</v>
      </c>
      <c r="CG89" s="523">
        <f t="shared" si="46"/>
        <v>0</v>
      </c>
      <c r="CH89" s="523">
        <f t="shared" si="46"/>
        <v>0</v>
      </c>
      <c r="CI89" s="523">
        <f t="shared" si="46"/>
        <v>0</v>
      </c>
      <c r="CJ89" s="523">
        <f t="shared" si="46"/>
        <v>0</v>
      </c>
      <c r="CK89" s="523">
        <f t="shared" si="46"/>
        <v>0</v>
      </c>
      <c r="CL89" s="523">
        <f t="shared" si="46"/>
        <v>0</v>
      </c>
      <c r="CM89" s="523">
        <f t="shared" si="46"/>
        <v>0</v>
      </c>
      <c r="CN89" s="523">
        <f t="shared" si="46"/>
        <v>0</v>
      </c>
      <c r="CO89" s="523">
        <f t="shared" si="46"/>
        <v>0</v>
      </c>
      <c r="CP89" s="523">
        <f t="shared" si="46"/>
        <v>0</v>
      </c>
      <c r="CQ89" s="523">
        <f t="shared" si="46"/>
        <v>0</v>
      </c>
      <c r="CR89" s="523">
        <f t="shared" si="46"/>
        <v>0</v>
      </c>
      <c r="CS89" s="523">
        <f t="shared" si="46"/>
        <v>0</v>
      </c>
      <c r="CT89" s="523">
        <f t="shared" si="46"/>
        <v>0</v>
      </c>
      <c r="CU89" s="523">
        <f t="shared" si="46"/>
        <v>0</v>
      </c>
      <c r="CV89" s="523">
        <f t="shared" si="46"/>
        <v>0</v>
      </c>
      <c r="CW89" s="523">
        <f t="shared" si="46"/>
        <v>0</v>
      </c>
      <c r="CX89" s="523">
        <f t="shared" si="46"/>
        <v>0</v>
      </c>
      <c r="CY89" s="523">
        <f t="shared" ref="CY89:ED89" si="47">SUM(CY76:CY87)</f>
        <v>0</v>
      </c>
      <c r="CZ89" s="523">
        <f t="shared" si="47"/>
        <v>0</v>
      </c>
      <c r="DA89" s="523">
        <f t="shared" si="47"/>
        <v>0</v>
      </c>
      <c r="DB89" s="523">
        <f t="shared" si="47"/>
        <v>0</v>
      </c>
      <c r="DC89" s="523">
        <f t="shared" si="47"/>
        <v>0</v>
      </c>
      <c r="DD89" s="523">
        <f t="shared" si="47"/>
        <v>0</v>
      </c>
      <c r="DE89" s="523">
        <f t="shared" si="47"/>
        <v>0</v>
      </c>
      <c r="DF89" s="523">
        <f t="shared" si="47"/>
        <v>0</v>
      </c>
      <c r="DG89" s="523">
        <f t="shared" si="47"/>
        <v>0</v>
      </c>
      <c r="DH89" s="523">
        <f t="shared" si="47"/>
        <v>0</v>
      </c>
      <c r="DI89" s="523">
        <f t="shared" si="47"/>
        <v>0</v>
      </c>
      <c r="DJ89" s="523">
        <f t="shared" si="47"/>
        <v>0</v>
      </c>
      <c r="DK89" s="523">
        <f t="shared" si="47"/>
        <v>0</v>
      </c>
      <c r="DL89" s="523">
        <f t="shared" si="47"/>
        <v>0</v>
      </c>
      <c r="DM89" s="523">
        <f t="shared" si="47"/>
        <v>0</v>
      </c>
      <c r="DN89" s="523">
        <f t="shared" si="47"/>
        <v>0</v>
      </c>
      <c r="DO89" s="523">
        <f t="shared" si="47"/>
        <v>0</v>
      </c>
      <c r="DP89" s="523">
        <f t="shared" si="47"/>
        <v>0</v>
      </c>
      <c r="DQ89" s="523">
        <f t="shared" si="47"/>
        <v>0</v>
      </c>
      <c r="DR89" s="523">
        <f t="shared" si="47"/>
        <v>0</v>
      </c>
      <c r="DS89" s="523">
        <f t="shared" si="47"/>
        <v>0</v>
      </c>
      <c r="DT89" s="523">
        <f t="shared" si="47"/>
        <v>0</v>
      </c>
      <c r="DU89" s="523">
        <f t="shared" si="47"/>
        <v>0</v>
      </c>
      <c r="DV89" s="523">
        <f t="shared" si="47"/>
        <v>0</v>
      </c>
      <c r="DW89" s="523">
        <f t="shared" si="47"/>
        <v>0</v>
      </c>
      <c r="DX89" s="523">
        <f t="shared" si="47"/>
        <v>0</v>
      </c>
      <c r="DY89" s="523">
        <f t="shared" si="47"/>
        <v>0</v>
      </c>
      <c r="DZ89" s="523">
        <f t="shared" si="47"/>
        <v>0</v>
      </c>
      <c r="EA89" s="523">
        <f t="shared" si="47"/>
        <v>0</v>
      </c>
      <c r="EB89" s="523">
        <f t="shared" si="47"/>
        <v>0</v>
      </c>
      <c r="EC89" s="523">
        <f t="shared" si="47"/>
        <v>0</v>
      </c>
      <c r="ED89" s="523">
        <f t="shared" si="47"/>
        <v>0</v>
      </c>
      <c r="EE89" s="523">
        <f t="shared" ref="EE89:EL89" si="48">SUM(EE76:EE87)</f>
        <v>0</v>
      </c>
      <c r="EF89" s="523">
        <f t="shared" si="48"/>
        <v>0</v>
      </c>
      <c r="EG89" s="523">
        <f t="shared" si="48"/>
        <v>0</v>
      </c>
      <c r="EH89" s="523">
        <f t="shared" si="48"/>
        <v>0</v>
      </c>
      <c r="EI89" s="523">
        <f t="shared" si="48"/>
        <v>0</v>
      </c>
      <c r="EJ89" s="523">
        <f t="shared" si="48"/>
        <v>0</v>
      </c>
      <c r="EK89" s="523">
        <f t="shared" si="48"/>
        <v>0</v>
      </c>
      <c r="EL89" s="523">
        <f t="shared" si="48"/>
        <v>0</v>
      </c>
    </row>
    <row r="90" spans="1:142" s="778" customFormat="1" ht="30.75" customHeight="1">
      <c r="A90" s="535" t="s">
        <v>1016</v>
      </c>
      <c r="B90" s="536"/>
      <c r="C90" s="494" t="s">
        <v>1017</v>
      </c>
      <c r="D90" s="535"/>
      <c r="E90" s="536"/>
      <c r="F90" s="535" t="s">
        <v>911</v>
      </c>
      <c r="G90" s="539"/>
      <c r="H90" s="539"/>
      <c r="I90" s="539"/>
      <c r="J90" s="539"/>
      <c r="K90" s="540"/>
      <c r="L90" s="540"/>
      <c r="M90" s="540"/>
      <c r="N90" s="541"/>
      <c r="O90" s="540"/>
      <c r="P90" s="540"/>
      <c r="Q90" s="540"/>
      <c r="R90" s="541"/>
      <c r="S90" s="540"/>
      <c r="T90" s="541"/>
      <c r="U90" s="541"/>
      <c r="V90" s="541"/>
      <c r="W90" s="540"/>
      <c r="X90" s="540"/>
      <c r="Y90" s="575"/>
      <c r="Z90" s="575"/>
      <c r="AA90" s="575"/>
      <c r="AB90" s="575"/>
      <c r="AC90" s="575"/>
      <c r="AD90" s="575"/>
      <c r="AE90" s="575"/>
      <c r="AF90" s="575"/>
      <c r="AG90" s="575"/>
      <c r="AH90" s="575"/>
      <c r="AI90" s="497"/>
      <c r="AJ90" s="497"/>
      <c r="AK90" s="497"/>
      <c r="AL90" s="497"/>
      <c r="AM90" s="497"/>
      <c r="AN90" s="497"/>
      <c r="AO90" s="497"/>
      <c r="AP90" s="497"/>
      <c r="AQ90" s="497"/>
      <c r="AR90" s="497"/>
      <c r="AS90" s="497"/>
      <c r="AT90" s="497"/>
      <c r="AU90" s="497"/>
      <c r="AV90" s="497"/>
      <c r="AW90" s="497"/>
      <c r="AX90" s="497"/>
      <c r="AY90" s="497"/>
      <c r="AZ90" s="497"/>
      <c r="BA90" s="497"/>
      <c r="BB90" s="497"/>
      <c r="BC90" s="497"/>
      <c r="BD90" s="497"/>
      <c r="BE90" s="497"/>
      <c r="BF90" s="497"/>
      <c r="BG90" s="497"/>
      <c r="BH90" s="497"/>
      <c r="BI90" s="497"/>
      <c r="BJ90" s="497"/>
      <c r="BK90" s="497"/>
      <c r="BL90" s="497"/>
      <c r="BM90" s="497"/>
      <c r="BN90" s="497"/>
      <c r="BO90" s="497"/>
      <c r="BP90" s="497"/>
      <c r="BQ90" s="497"/>
      <c r="BR90" s="497"/>
      <c r="BS90" s="610"/>
      <c r="BT90" s="611"/>
      <c r="BU90" s="611"/>
      <c r="BV90" s="611"/>
      <c r="BW90" s="610"/>
      <c r="BX90" s="610"/>
      <c r="BY90" s="610"/>
      <c r="BZ90" s="610"/>
      <c r="CA90" s="610"/>
      <c r="CB90" s="612"/>
      <c r="CC90" s="611"/>
      <c r="CD90" s="611"/>
      <c r="CE90" s="611"/>
      <c r="CF90" s="611"/>
      <c r="CG90" s="610"/>
      <c r="CH90" s="610"/>
      <c r="CI90" s="610"/>
      <c r="CJ90" s="610"/>
      <c r="CK90" s="612"/>
      <c r="CL90" s="611"/>
      <c r="CM90" s="611"/>
      <c r="CN90" s="611"/>
      <c r="CO90" s="612"/>
      <c r="CP90" s="612"/>
      <c r="CQ90" s="612"/>
      <c r="CR90" s="612"/>
      <c r="CS90" s="610"/>
      <c r="CT90" s="612"/>
      <c r="CU90" s="612"/>
      <c r="CV90" s="611"/>
      <c r="CW90" s="611"/>
      <c r="CX90" s="612"/>
      <c r="CY90" s="612"/>
      <c r="CZ90" s="612"/>
      <c r="DA90" s="612"/>
      <c r="DB90" s="610"/>
      <c r="DC90" s="612"/>
      <c r="DD90" s="612"/>
      <c r="DE90" s="611"/>
      <c r="DF90" s="613"/>
      <c r="DG90" s="612"/>
      <c r="DH90" s="612"/>
      <c r="DI90" s="612"/>
      <c r="DJ90" s="612"/>
      <c r="DK90" s="610"/>
      <c r="DL90" s="610"/>
      <c r="DM90" s="612"/>
      <c r="DN90" s="611"/>
      <c r="DO90" s="611"/>
      <c r="DP90" s="610"/>
      <c r="DQ90" s="610"/>
      <c r="DR90" s="610"/>
      <c r="DS90" s="610"/>
      <c r="DT90" s="610"/>
      <c r="DU90" s="610"/>
      <c r="DV90" s="610"/>
      <c r="DW90" s="611"/>
      <c r="DX90" s="611"/>
      <c r="DY90" s="610"/>
      <c r="DZ90" s="610"/>
      <c r="EA90" s="610"/>
      <c r="EB90" s="610"/>
      <c r="EC90" s="610"/>
      <c r="ED90" s="610"/>
      <c r="EE90" s="610"/>
      <c r="EF90" s="611"/>
      <c r="EG90" s="611"/>
      <c r="EH90" s="610"/>
      <c r="EI90" s="610"/>
      <c r="EJ90" s="610"/>
      <c r="EK90" s="610"/>
      <c r="EL90" s="610"/>
    </row>
    <row r="91" spans="1:142" ht="102" customHeight="1">
      <c r="A91" s="527">
        <v>1</v>
      </c>
      <c r="B91" s="863" t="s">
        <v>927</v>
      </c>
      <c r="C91" s="614" t="s">
        <v>1018</v>
      </c>
      <c r="D91" s="615" t="s">
        <v>1019</v>
      </c>
      <c r="E91" s="527"/>
      <c r="F91" s="527" t="s">
        <v>1020</v>
      </c>
      <c r="G91" s="596">
        <v>2391.3200000000002</v>
      </c>
      <c r="H91" s="548"/>
      <c r="I91" s="548"/>
      <c r="J91" s="548"/>
      <c r="K91" s="548">
        <f>G91/1.06</f>
        <v>2255.9622641509436</v>
      </c>
      <c r="L91" s="548"/>
      <c r="M91" s="548"/>
      <c r="N91" s="549"/>
      <c r="O91" s="548"/>
      <c r="P91" s="548">
        <v>2256</v>
      </c>
      <c r="Q91" s="522">
        <v>1400</v>
      </c>
      <c r="R91" s="549"/>
      <c r="S91" s="548"/>
      <c r="T91" s="549"/>
      <c r="U91" s="549"/>
      <c r="V91" s="549">
        <v>1400</v>
      </c>
      <c r="W91" s="596">
        <f>K91-Q91</f>
        <v>855.96226415094361</v>
      </c>
      <c r="X91" s="503"/>
      <c r="Y91" s="529"/>
      <c r="Z91" s="529"/>
      <c r="AA91" s="529"/>
      <c r="AB91" s="529"/>
      <c r="AC91" s="529"/>
      <c r="AD91" s="529"/>
      <c r="AE91" s="529"/>
      <c r="AF91" s="507"/>
      <c r="AG91" s="507"/>
      <c r="AH91" s="507"/>
      <c r="AI91" s="616"/>
      <c r="AJ91" s="508"/>
      <c r="AK91" s="508"/>
      <c r="AL91" s="508"/>
      <c r="AM91" s="508"/>
      <c r="AN91" s="508"/>
      <c r="AO91" s="508"/>
      <c r="AP91" s="508"/>
      <c r="AQ91" s="508"/>
      <c r="AR91" s="616"/>
      <c r="AS91" s="508"/>
      <c r="AT91" s="508"/>
      <c r="AU91" s="508"/>
      <c r="AV91" s="508"/>
      <c r="AW91" s="508"/>
      <c r="AX91" s="508"/>
      <c r="AY91" s="508"/>
      <c r="AZ91" s="508"/>
      <c r="BA91" s="616"/>
      <c r="BB91" s="508"/>
      <c r="BC91" s="508"/>
      <c r="BD91" s="508"/>
      <c r="BE91" s="508"/>
      <c r="BF91" s="508"/>
      <c r="BG91" s="508"/>
      <c r="BH91" s="508"/>
      <c r="BI91" s="508"/>
      <c r="BJ91" s="616"/>
      <c r="BK91" s="508"/>
      <c r="BL91" s="508"/>
      <c r="BM91" s="508"/>
      <c r="BN91" s="508"/>
      <c r="BO91" s="508"/>
      <c r="BP91" s="508"/>
      <c r="BQ91" s="508"/>
      <c r="BR91" s="508"/>
      <c r="BS91" s="616"/>
      <c r="BT91" s="508"/>
      <c r="BU91" s="508"/>
      <c r="BV91" s="508"/>
      <c r="BW91" s="508"/>
      <c r="BX91" s="508"/>
      <c r="BY91" s="508"/>
      <c r="BZ91" s="508"/>
      <c r="CA91" s="508"/>
      <c r="CB91" s="508"/>
      <c r="CC91" s="508"/>
      <c r="CD91" s="508"/>
      <c r="CE91" s="508"/>
      <c r="CF91" s="508"/>
      <c r="CG91" s="508"/>
      <c r="CH91" s="508"/>
      <c r="CI91" s="508"/>
      <c r="CJ91" s="508"/>
      <c r="CK91" s="508"/>
      <c r="CL91" s="508"/>
      <c r="CM91" s="508"/>
      <c r="CN91" s="508"/>
      <c r="CO91" s="508"/>
      <c r="CP91" s="508"/>
      <c r="CQ91" s="508"/>
      <c r="CR91" s="508"/>
      <c r="CS91" s="508"/>
      <c r="CT91" s="508"/>
      <c r="CU91" s="508"/>
      <c r="CV91" s="508"/>
      <c r="CW91" s="508"/>
      <c r="CX91" s="508"/>
      <c r="CY91" s="508"/>
      <c r="CZ91" s="508"/>
      <c r="DA91" s="508"/>
      <c r="DB91" s="508"/>
      <c r="DC91" s="508"/>
      <c r="DD91" s="508"/>
      <c r="DE91" s="508"/>
      <c r="DF91" s="508"/>
      <c r="DG91" s="508"/>
      <c r="DH91" s="508"/>
      <c r="DI91" s="508"/>
      <c r="DJ91" s="508"/>
      <c r="DK91" s="508"/>
      <c r="DL91" s="508"/>
      <c r="DM91" s="508"/>
      <c r="DN91" s="508"/>
      <c r="DO91" s="508"/>
      <c r="DP91" s="508"/>
      <c r="DQ91" s="508"/>
      <c r="DR91" s="508"/>
      <c r="DS91" s="508"/>
      <c r="DT91" s="508"/>
      <c r="DU91" s="508"/>
      <c r="DV91" s="508"/>
      <c r="DW91" s="508"/>
      <c r="DX91" s="508"/>
      <c r="DY91" s="508"/>
      <c r="DZ91" s="508"/>
      <c r="EA91" s="508"/>
      <c r="EB91" s="508"/>
      <c r="EC91" s="508"/>
      <c r="ED91" s="508"/>
      <c r="EE91" s="508"/>
      <c r="EF91" s="508"/>
      <c r="EG91" s="508"/>
      <c r="EH91" s="508"/>
      <c r="EI91" s="508"/>
      <c r="EJ91" s="508"/>
      <c r="EK91" s="508"/>
      <c r="EL91" s="508"/>
    </row>
    <row r="92" spans="1:142" ht="61.5" customHeight="1">
      <c r="A92" s="527">
        <v>2</v>
      </c>
      <c r="B92" s="807"/>
      <c r="C92" s="617" t="s">
        <v>1021</v>
      </c>
      <c r="D92" s="615" t="s">
        <v>1022</v>
      </c>
      <c r="E92" s="527"/>
      <c r="F92" s="527" t="s">
        <v>1020</v>
      </c>
      <c r="G92" s="596">
        <v>22</v>
      </c>
      <c r="H92" s="548"/>
      <c r="I92" s="548"/>
      <c r="J92" s="548"/>
      <c r="K92" s="548">
        <f>G92/1.06</f>
        <v>20.754716981132074</v>
      </c>
      <c r="L92" s="548"/>
      <c r="M92" s="548"/>
      <c r="N92" s="549"/>
      <c r="O92" s="548"/>
      <c r="P92" s="548">
        <v>21</v>
      </c>
      <c r="Q92" s="548"/>
      <c r="R92" s="549"/>
      <c r="S92" s="548"/>
      <c r="T92" s="549"/>
      <c r="U92" s="549"/>
      <c r="V92" s="549"/>
      <c r="W92" s="548">
        <f>K92-Q92</f>
        <v>20.754716981132074</v>
      </c>
      <c r="X92" s="503">
        <v>22</v>
      </c>
      <c r="Y92" s="529"/>
      <c r="Z92" s="529"/>
      <c r="AA92" s="529"/>
      <c r="AB92" s="529"/>
      <c r="AC92" s="529"/>
      <c r="AD92" s="529"/>
      <c r="AE92" s="529"/>
      <c r="AF92" s="507"/>
      <c r="AG92" s="507"/>
      <c r="AH92" s="507"/>
      <c r="AI92" s="616"/>
      <c r="AJ92" s="508"/>
      <c r="AK92" s="508"/>
      <c r="AL92" s="508"/>
      <c r="AM92" s="508"/>
      <c r="AN92" s="508"/>
      <c r="AO92" s="508"/>
      <c r="AP92" s="508"/>
      <c r="AQ92" s="508"/>
      <c r="AR92" s="616"/>
      <c r="AS92" s="508"/>
      <c r="AT92" s="508"/>
      <c r="AU92" s="508"/>
      <c r="AV92" s="508"/>
      <c r="AW92" s="508"/>
      <c r="AX92" s="508"/>
      <c r="AY92" s="508"/>
      <c r="AZ92" s="508"/>
      <c r="BA92" s="616"/>
      <c r="BB92" s="508"/>
      <c r="BC92" s="508"/>
      <c r="BD92" s="508"/>
      <c r="BE92" s="508"/>
      <c r="BF92" s="508"/>
      <c r="BG92" s="508"/>
      <c r="BH92" s="508"/>
      <c r="BI92" s="508"/>
      <c r="BJ92" s="616"/>
      <c r="BK92" s="508"/>
      <c r="BL92" s="508"/>
      <c r="BM92" s="508"/>
      <c r="BN92" s="508"/>
      <c r="BO92" s="508"/>
      <c r="BP92" s="508"/>
      <c r="BQ92" s="508"/>
      <c r="BR92" s="508"/>
      <c r="BS92" s="616"/>
      <c r="BT92" s="508"/>
      <c r="BU92" s="508"/>
      <c r="BV92" s="508"/>
      <c r="BW92" s="508"/>
      <c r="BX92" s="508"/>
      <c r="BY92" s="508"/>
      <c r="BZ92" s="508"/>
      <c r="CA92" s="508"/>
      <c r="CB92" s="508"/>
      <c r="CC92" s="508"/>
      <c r="CD92" s="508"/>
      <c r="CE92" s="508"/>
      <c r="CF92" s="616"/>
      <c r="CG92" s="508"/>
      <c r="CH92" s="508"/>
      <c r="CI92" s="508"/>
      <c r="CJ92" s="508"/>
      <c r="CK92" s="508"/>
      <c r="CL92" s="508"/>
      <c r="CM92" s="508"/>
      <c r="CN92" s="508"/>
      <c r="CO92" s="508"/>
      <c r="CP92" s="508"/>
      <c r="CQ92" s="508"/>
      <c r="CR92" s="508"/>
      <c r="CS92" s="508"/>
      <c r="CT92" s="508"/>
      <c r="CU92" s="508"/>
      <c r="CV92" s="508"/>
      <c r="CW92" s="508"/>
      <c r="CX92" s="508"/>
      <c r="CY92" s="508"/>
      <c r="CZ92" s="508"/>
      <c r="DA92" s="508"/>
      <c r="DB92" s="508"/>
      <c r="DC92" s="508"/>
      <c r="DD92" s="508"/>
      <c r="DE92" s="508"/>
      <c r="DF92" s="508"/>
      <c r="DG92" s="508"/>
      <c r="DH92" s="508"/>
      <c r="DI92" s="508"/>
      <c r="DJ92" s="508"/>
      <c r="DK92" s="508"/>
      <c r="DL92" s="508"/>
      <c r="DM92" s="508"/>
      <c r="DN92" s="508"/>
      <c r="DO92" s="508"/>
      <c r="DP92" s="508"/>
      <c r="DQ92" s="508"/>
      <c r="DR92" s="508"/>
      <c r="DS92" s="508"/>
      <c r="DT92" s="508"/>
      <c r="DU92" s="508"/>
      <c r="DV92" s="508"/>
      <c r="DW92" s="508"/>
      <c r="DX92" s="508"/>
      <c r="DY92" s="508"/>
      <c r="DZ92" s="508"/>
      <c r="EA92" s="508"/>
      <c r="EB92" s="508"/>
      <c r="EC92" s="508"/>
      <c r="ED92" s="508"/>
      <c r="EE92" s="508"/>
      <c r="EF92" s="508"/>
      <c r="EG92" s="508"/>
      <c r="EH92" s="508"/>
      <c r="EI92" s="508"/>
      <c r="EJ92" s="508"/>
      <c r="EK92" s="508"/>
      <c r="EL92" s="508"/>
    </row>
    <row r="93" spans="1:142" s="780" customFormat="1" ht="60.75" customHeight="1">
      <c r="A93" s="530">
        <v>3</v>
      </c>
      <c r="B93" s="807"/>
      <c r="C93" s="618" t="s">
        <v>1023</v>
      </c>
      <c r="D93" s="619" t="s">
        <v>1024</v>
      </c>
      <c r="E93" s="530"/>
      <c r="F93" s="620" t="s">
        <v>1020</v>
      </c>
      <c r="G93" s="596">
        <v>193.6</v>
      </c>
      <c r="H93" s="548"/>
      <c r="I93" s="548"/>
      <c r="J93" s="548"/>
      <c r="K93" s="548">
        <f>G93/1.13</f>
        <v>171.3274336283186</v>
      </c>
      <c r="L93" s="548">
        <v>171</v>
      </c>
      <c r="M93" s="548"/>
      <c r="N93" s="549"/>
      <c r="O93" s="548"/>
      <c r="P93" s="548"/>
      <c r="Q93" s="548">
        <v>146</v>
      </c>
      <c r="R93" s="549">
        <v>146</v>
      </c>
      <c r="S93" s="548"/>
      <c r="T93" s="549"/>
      <c r="U93" s="549"/>
      <c r="V93" s="549"/>
      <c r="W93" s="548">
        <f>K93-Q93</f>
        <v>25.327433628318602</v>
      </c>
      <c r="X93" s="597">
        <v>193.6</v>
      </c>
      <c r="Y93" s="621"/>
      <c r="Z93" s="621"/>
      <c r="AA93" s="621"/>
      <c r="AB93" s="621"/>
      <c r="AC93" s="621"/>
      <c r="AD93" s="621"/>
      <c r="AE93" s="621"/>
      <c r="AF93" s="580"/>
      <c r="AG93" s="580"/>
      <c r="AH93" s="580"/>
      <c r="AI93" s="530"/>
      <c r="AJ93" s="581"/>
      <c r="AK93" s="581"/>
      <c r="AL93" s="581"/>
      <c r="AM93" s="581"/>
      <c r="AN93" s="581"/>
      <c r="AO93" s="581"/>
      <c r="AP93" s="581"/>
      <c r="AQ93" s="581"/>
      <c r="AR93" s="530"/>
      <c r="AS93" s="581"/>
      <c r="AT93" s="581"/>
      <c r="AU93" s="581"/>
      <c r="AV93" s="581"/>
      <c r="AW93" s="581"/>
      <c r="AX93" s="581"/>
      <c r="AY93" s="581"/>
      <c r="AZ93" s="581"/>
      <c r="BA93" s="530"/>
      <c r="BB93" s="581"/>
      <c r="BC93" s="581"/>
      <c r="BD93" s="581"/>
      <c r="BE93" s="581"/>
      <c r="BF93" s="581"/>
      <c r="BG93" s="581"/>
      <c r="BH93" s="581"/>
      <c r="BI93" s="581"/>
      <c r="BJ93" s="530"/>
      <c r="BK93" s="581"/>
      <c r="BL93" s="581"/>
      <c r="BM93" s="581"/>
      <c r="BN93" s="581"/>
      <c r="BO93" s="581"/>
      <c r="BP93" s="581"/>
      <c r="BQ93" s="581"/>
      <c r="BR93" s="581"/>
      <c r="BS93" s="530"/>
      <c r="BT93" s="581"/>
      <c r="BU93" s="581"/>
      <c r="BV93" s="581"/>
      <c r="BW93" s="581"/>
      <c r="BX93" s="581"/>
      <c r="BY93" s="581"/>
      <c r="BZ93" s="581"/>
      <c r="CA93" s="581"/>
      <c r="CB93" s="581"/>
      <c r="CC93" s="581"/>
      <c r="CD93" s="581"/>
      <c r="CE93" s="581"/>
      <c r="CF93" s="530"/>
      <c r="CG93" s="581"/>
      <c r="CH93" s="581"/>
      <c r="CI93" s="581"/>
      <c r="CJ93" s="581"/>
      <c r="CK93" s="581"/>
      <c r="CL93" s="581"/>
      <c r="CM93" s="581"/>
      <c r="CN93" s="581"/>
      <c r="CO93" s="581"/>
      <c r="CP93" s="581"/>
      <c r="CQ93" s="581"/>
      <c r="CR93" s="581"/>
      <c r="CS93" s="530"/>
      <c r="CT93" s="581"/>
      <c r="CU93" s="581"/>
      <c r="CV93" s="581"/>
      <c r="CW93" s="581"/>
      <c r="CX93" s="622"/>
      <c r="CY93" s="623"/>
      <c r="CZ93" s="623"/>
      <c r="DA93" s="623"/>
      <c r="DB93" s="581"/>
      <c r="DC93" s="623"/>
      <c r="DD93" s="623"/>
      <c r="DE93" s="623"/>
      <c r="DF93" s="623"/>
      <c r="DG93" s="623"/>
      <c r="DH93" s="623"/>
      <c r="DI93" s="623"/>
      <c r="DJ93" s="623"/>
      <c r="DK93" s="581"/>
      <c r="DL93" s="581"/>
      <c r="DM93" s="581"/>
      <c r="DN93" s="581"/>
      <c r="DO93" s="581"/>
      <c r="DP93" s="581"/>
      <c r="DQ93" s="581"/>
      <c r="DR93" s="581"/>
      <c r="DS93" s="581"/>
      <c r="DT93" s="581"/>
      <c r="DU93" s="581"/>
      <c r="DV93" s="581"/>
      <c r="DW93" s="581"/>
      <c r="DX93" s="581"/>
      <c r="DY93" s="581"/>
      <c r="DZ93" s="581"/>
      <c r="EA93" s="581"/>
      <c r="EB93" s="581"/>
      <c r="EC93" s="581"/>
      <c r="ED93" s="581"/>
      <c r="EE93" s="581"/>
      <c r="EF93" s="581"/>
      <c r="EG93" s="581"/>
      <c r="EH93" s="581"/>
      <c r="EI93" s="581"/>
      <c r="EJ93" s="581"/>
      <c r="EK93" s="581"/>
      <c r="EL93" s="581"/>
    </row>
    <row r="94" spans="1:142" s="780" customFormat="1" ht="40.5" customHeight="1">
      <c r="A94" s="530">
        <v>4</v>
      </c>
      <c r="B94" s="807"/>
      <c r="C94" s="618" t="s">
        <v>1025</v>
      </c>
      <c r="D94" s="530"/>
      <c r="E94" s="530"/>
      <c r="F94" s="620" t="s">
        <v>1020</v>
      </c>
      <c r="G94" s="597">
        <v>48.8</v>
      </c>
      <c r="H94" s="597"/>
      <c r="I94" s="597"/>
      <c r="J94" s="597"/>
      <c r="K94" s="597">
        <f>G94/1.06</f>
        <v>46.037735849056595</v>
      </c>
      <c r="L94" s="548"/>
      <c r="M94" s="548"/>
      <c r="N94" s="549"/>
      <c r="O94" s="548"/>
      <c r="P94" s="548">
        <v>46.04</v>
      </c>
      <c r="Q94" s="548"/>
      <c r="R94" s="549"/>
      <c r="S94" s="548"/>
      <c r="T94" s="549"/>
      <c r="U94" s="549"/>
      <c r="V94" s="549"/>
      <c r="W94" s="548">
        <f>K94-Q94</f>
        <v>46.037735849056595</v>
      </c>
      <c r="X94" s="597"/>
      <c r="Y94" s="621"/>
      <c r="Z94" s="621"/>
      <c r="AA94" s="621"/>
      <c r="AB94" s="621"/>
      <c r="AC94" s="621"/>
      <c r="AD94" s="621"/>
      <c r="AE94" s="621"/>
      <c r="AF94" s="580"/>
      <c r="AG94" s="580"/>
      <c r="AH94" s="580"/>
      <c r="AI94" s="530"/>
      <c r="AJ94" s="581"/>
      <c r="AK94" s="581"/>
      <c r="AL94" s="581"/>
      <c r="AM94" s="581"/>
      <c r="AN94" s="581"/>
      <c r="AO94" s="581"/>
      <c r="AP94" s="581"/>
      <c r="AQ94" s="581"/>
      <c r="AR94" s="530"/>
      <c r="AS94" s="581"/>
      <c r="AT94" s="581"/>
      <c r="AU94" s="581"/>
      <c r="AV94" s="581"/>
      <c r="AW94" s="581"/>
      <c r="AX94" s="581"/>
      <c r="AY94" s="581"/>
      <c r="AZ94" s="581"/>
      <c r="BA94" s="530"/>
      <c r="BB94" s="581"/>
      <c r="BC94" s="581"/>
      <c r="BD94" s="581"/>
      <c r="BE94" s="581"/>
      <c r="BF94" s="581"/>
      <c r="BG94" s="581"/>
      <c r="BH94" s="581"/>
      <c r="BI94" s="581"/>
      <c r="BJ94" s="530"/>
      <c r="BK94" s="581"/>
      <c r="BL94" s="581"/>
      <c r="BM94" s="581"/>
      <c r="BN94" s="581"/>
      <c r="BO94" s="581"/>
      <c r="BP94" s="581"/>
      <c r="BQ94" s="581"/>
      <c r="BR94" s="581"/>
      <c r="BS94" s="530"/>
      <c r="BT94" s="581"/>
      <c r="BU94" s="581"/>
      <c r="BV94" s="581"/>
      <c r="BW94" s="581"/>
      <c r="BX94" s="581"/>
      <c r="BY94" s="581"/>
      <c r="BZ94" s="581"/>
      <c r="CA94" s="581"/>
      <c r="CB94" s="581"/>
      <c r="CC94" s="581"/>
      <c r="CD94" s="581"/>
      <c r="CE94" s="581"/>
      <c r="CF94" s="581"/>
      <c r="CG94" s="581"/>
      <c r="CH94" s="581"/>
      <c r="CI94" s="581"/>
      <c r="CJ94" s="581"/>
      <c r="CK94" s="581"/>
      <c r="CL94" s="581"/>
      <c r="CM94" s="581"/>
      <c r="CN94" s="581"/>
      <c r="CO94" s="581"/>
      <c r="CP94" s="581"/>
      <c r="CQ94" s="581"/>
      <c r="CR94" s="581"/>
      <c r="CS94" s="581"/>
      <c r="CT94" s="581"/>
      <c r="CU94" s="581"/>
      <c r="CV94" s="581"/>
      <c r="CW94" s="581"/>
      <c r="CX94" s="623"/>
      <c r="CY94" s="623"/>
      <c r="CZ94" s="623"/>
      <c r="DA94" s="623"/>
      <c r="DB94" s="581"/>
      <c r="DC94" s="623"/>
      <c r="DD94" s="623"/>
      <c r="DE94" s="623"/>
      <c r="DF94" s="623"/>
      <c r="DG94" s="623"/>
      <c r="DH94" s="623"/>
      <c r="DI94" s="623"/>
      <c r="DJ94" s="623"/>
      <c r="DK94" s="581"/>
      <c r="DL94" s="581"/>
      <c r="DM94" s="581"/>
      <c r="DN94" s="581"/>
      <c r="DO94" s="581"/>
      <c r="DP94" s="581"/>
      <c r="DQ94" s="581"/>
      <c r="DR94" s="581"/>
      <c r="DS94" s="581"/>
      <c r="DT94" s="581"/>
      <c r="DU94" s="581"/>
      <c r="DV94" s="581"/>
      <c r="DW94" s="581"/>
      <c r="DX94" s="581"/>
      <c r="DY94" s="581"/>
      <c r="DZ94" s="581"/>
      <c r="EA94" s="581"/>
      <c r="EB94" s="581"/>
      <c r="EC94" s="581"/>
      <c r="ED94" s="581"/>
      <c r="EE94" s="581"/>
      <c r="EF94" s="581"/>
      <c r="EG94" s="581"/>
      <c r="EH94" s="581"/>
      <c r="EI94" s="581"/>
      <c r="EJ94" s="581"/>
      <c r="EK94" s="581"/>
      <c r="EL94" s="581"/>
    </row>
    <row r="95" spans="1:142" s="780" customFormat="1" ht="78" customHeight="1">
      <c r="A95" s="530">
        <v>5</v>
      </c>
      <c r="B95" s="624" t="s">
        <v>912</v>
      </c>
      <c r="C95" s="618" t="s">
        <v>1026</v>
      </c>
      <c r="D95" s="619" t="s">
        <v>1027</v>
      </c>
      <c r="E95" s="530"/>
      <c r="F95" s="620" t="s">
        <v>1020</v>
      </c>
      <c r="G95" s="597"/>
      <c r="H95" s="597"/>
      <c r="I95" s="597"/>
      <c r="J95" s="597"/>
      <c r="K95" s="597">
        <v>99.97</v>
      </c>
      <c r="L95" s="548"/>
      <c r="M95" s="548"/>
      <c r="N95" s="549"/>
      <c r="O95" s="548"/>
      <c r="P95" s="551">
        <v>99.97</v>
      </c>
      <c r="Q95" s="548">
        <v>20</v>
      </c>
      <c r="R95" s="549"/>
      <c r="S95" s="548"/>
      <c r="T95" s="549"/>
      <c r="U95" s="549"/>
      <c r="V95" s="549">
        <v>20</v>
      </c>
      <c r="W95" s="548">
        <f>K95-Q95</f>
        <v>79.97</v>
      </c>
      <c r="X95" s="597"/>
      <c r="Y95" s="621"/>
      <c r="Z95" s="621"/>
      <c r="AA95" s="621"/>
      <c r="AB95" s="621"/>
      <c r="AC95" s="621"/>
      <c r="AD95" s="621"/>
      <c r="AE95" s="621"/>
      <c r="AF95" s="580"/>
      <c r="AG95" s="580"/>
      <c r="AH95" s="580"/>
      <c r="AI95" s="530"/>
      <c r="AJ95" s="581"/>
      <c r="AK95" s="581"/>
      <c r="AL95" s="581"/>
      <c r="AM95" s="581"/>
      <c r="AN95" s="581"/>
      <c r="AO95" s="581"/>
      <c r="AP95" s="581"/>
      <c r="AQ95" s="581"/>
      <c r="AR95" s="530"/>
      <c r="AS95" s="581"/>
      <c r="AT95" s="581"/>
      <c r="AU95" s="581"/>
      <c r="AV95" s="581"/>
      <c r="AW95" s="581"/>
      <c r="AX95" s="581"/>
      <c r="AY95" s="581"/>
      <c r="AZ95" s="581"/>
      <c r="BA95" s="530"/>
      <c r="BB95" s="581"/>
      <c r="BC95" s="581"/>
      <c r="BD95" s="581"/>
      <c r="BE95" s="581"/>
      <c r="BF95" s="581"/>
      <c r="BG95" s="581"/>
      <c r="BH95" s="581"/>
      <c r="BI95" s="581"/>
      <c r="BJ95" s="530"/>
      <c r="BK95" s="581"/>
      <c r="BL95" s="581"/>
      <c r="BM95" s="581"/>
      <c r="BN95" s="581"/>
      <c r="BO95" s="581"/>
      <c r="BP95" s="581"/>
      <c r="BQ95" s="581"/>
      <c r="BR95" s="581"/>
      <c r="BS95" s="530"/>
      <c r="BT95" s="581"/>
      <c r="BU95" s="581"/>
      <c r="BV95" s="581"/>
      <c r="BW95" s="581"/>
      <c r="BX95" s="581"/>
      <c r="BY95" s="581"/>
      <c r="BZ95" s="581"/>
      <c r="CA95" s="581"/>
      <c r="CB95" s="581"/>
      <c r="CC95" s="581"/>
      <c r="CD95" s="581"/>
      <c r="CE95" s="581"/>
      <c r="CF95" s="581"/>
      <c r="CG95" s="581"/>
      <c r="CH95" s="581"/>
      <c r="CI95" s="581"/>
      <c r="CJ95" s="581"/>
      <c r="CK95" s="581"/>
      <c r="CL95" s="581"/>
      <c r="CM95" s="581"/>
      <c r="CN95" s="581"/>
      <c r="CO95" s="581"/>
      <c r="CP95" s="581"/>
      <c r="CQ95" s="581"/>
      <c r="CR95" s="581"/>
      <c r="CS95" s="581"/>
      <c r="CT95" s="581"/>
      <c r="CU95" s="581"/>
      <c r="CV95" s="581"/>
      <c r="CW95" s="581"/>
      <c r="CX95" s="623"/>
      <c r="CY95" s="623"/>
      <c r="CZ95" s="623"/>
      <c r="DA95" s="623"/>
      <c r="DB95" s="581"/>
      <c r="DC95" s="623"/>
      <c r="DD95" s="623"/>
      <c r="DE95" s="623"/>
      <c r="DF95" s="623"/>
      <c r="DG95" s="623"/>
      <c r="DH95" s="623"/>
      <c r="DI95" s="623"/>
      <c r="DJ95" s="623"/>
      <c r="DK95" s="581"/>
      <c r="DL95" s="581"/>
      <c r="DM95" s="581"/>
      <c r="DN95" s="581"/>
      <c r="DO95" s="581"/>
      <c r="DP95" s="581"/>
      <c r="DQ95" s="581"/>
      <c r="DR95" s="581"/>
      <c r="DS95" s="581"/>
      <c r="DT95" s="581"/>
      <c r="DU95" s="581"/>
      <c r="DV95" s="581"/>
      <c r="DW95" s="581"/>
      <c r="DX95" s="581"/>
      <c r="DY95" s="581"/>
      <c r="DZ95" s="581"/>
      <c r="EA95" s="581"/>
      <c r="EB95" s="581"/>
      <c r="EC95" s="581"/>
      <c r="ED95" s="581"/>
      <c r="EE95" s="581"/>
      <c r="EF95" s="581"/>
      <c r="EG95" s="581"/>
      <c r="EH95" s="581"/>
      <c r="EI95" s="581"/>
      <c r="EJ95" s="581"/>
      <c r="EK95" s="581"/>
      <c r="EL95" s="581"/>
    </row>
    <row r="96" spans="1:142" s="782" customFormat="1" ht="33" customHeight="1">
      <c r="A96" s="844" t="s">
        <v>1015</v>
      </c>
      <c r="B96" s="807"/>
      <c r="C96" s="807"/>
      <c r="D96" s="807"/>
      <c r="E96" s="807"/>
      <c r="F96" s="625"/>
      <c r="G96" s="522">
        <f t="shared" ref="G96:AL96" si="49">SUM(G91:G95)</f>
        <v>2655.7200000000003</v>
      </c>
      <c r="H96" s="522">
        <f t="shared" si="49"/>
        <v>0</v>
      </c>
      <c r="I96" s="522">
        <f t="shared" si="49"/>
        <v>0</v>
      </c>
      <c r="J96" s="522">
        <f t="shared" si="49"/>
        <v>0</v>
      </c>
      <c r="K96" s="522">
        <f t="shared" si="49"/>
        <v>2594.0521506094501</v>
      </c>
      <c r="L96" s="522">
        <f t="shared" si="49"/>
        <v>171</v>
      </c>
      <c r="M96" s="522">
        <f t="shared" si="49"/>
        <v>0</v>
      </c>
      <c r="N96" s="523">
        <f t="shared" si="49"/>
        <v>0</v>
      </c>
      <c r="O96" s="522">
        <f t="shared" si="49"/>
        <v>0</v>
      </c>
      <c r="P96" s="522">
        <f t="shared" si="49"/>
        <v>2423.0099999999998</v>
      </c>
      <c r="Q96" s="522">
        <f t="shared" si="49"/>
        <v>1566</v>
      </c>
      <c r="R96" s="523">
        <f t="shared" si="49"/>
        <v>146</v>
      </c>
      <c r="S96" s="522">
        <f t="shared" si="49"/>
        <v>0</v>
      </c>
      <c r="T96" s="523">
        <f t="shared" si="49"/>
        <v>0</v>
      </c>
      <c r="U96" s="523">
        <f t="shared" si="49"/>
        <v>0</v>
      </c>
      <c r="V96" s="523">
        <f t="shared" si="49"/>
        <v>1420</v>
      </c>
      <c r="W96" s="522">
        <f t="shared" si="49"/>
        <v>1028.052150609451</v>
      </c>
      <c r="X96" s="522">
        <f t="shared" si="49"/>
        <v>215.6</v>
      </c>
      <c r="Y96" s="522">
        <f t="shared" si="49"/>
        <v>0</v>
      </c>
      <c r="Z96" s="522">
        <f t="shared" si="49"/>
        <v>0</v>
      </c>
      <c r="AA96" s="522">
        <f t="shared" si="49"/>
        <v>0</v>
      </c>
      <c r="AB96" s="522">
        <f t="shared" si="49"/>
        <v>0</v>
      </c>
      <c r="AC96" s="522">
        <f t="shared" si="49"/>
        <v>0</v>
      </c>
      <c r="AD96" s="522">
        <f t="shared" si="49"/>
        <v>0</v>
      </c>
      <c r="AE96" s="522">
        <f t="shared" si="49"/>
        <v>0</v>
      </c>
      <c r="AF96" s="522">
        <f t="shared" si="49"/>
        <v>0</v>
      </c>
      <c r="AG96" s="522">
        <f t="shared" si="49"/>
        <v>0</v>
      </c>
      <c r="AH96" s="522">
        <f t="shared" si="49"/>
        <v>0</v>
      </c>
      <c r="AI96" s="522">
        <f t="shared" si="49"/>
        <v>0</v>
      </c>
      <c r="AJ96" s="522">
        <f t="shared" si="49"/>
        <v>0</v>
      </c>
      <c r="AK96" s="522">
        <f t="shared" si="49"/>
        <v>0</v>
      </c>
      <c r="AL96" s="522">
        <f t="shared" si="49"/>
        <v>0</v>
      </c>
      <c r="AM96" s="522">
        <f t="shared" ref="AM96:BR96" si="50">SUM(AM91:AM95)</f>
        <v>0</v>
      </c>
      <c r="AN96" s="522">
        <f t="shared" si="50"/>
        <v>0</v>
      </c>
      <c r="AO96" s="522">
        <f t="shared" si="50"/>
        <v>0</v>
      </c>
      <c r="AP96" s="522">
        <f t="shared" si="50"/>
        <v>0</v>
      </c>
      <c r="AQ96" s="522">
        <f t="shared" si="50"/>
        <v>0</v>
      </c>
      <c r="AR96" s="522">
        <f t="shared" si="50"/>
        <v>0</v>
      </c>
      <c r="AS96" s="522">
        <f t="shared" si="50"/>
        <v>0</v>
      </c>
      <c r="AT96" s="522">
        <f t="shared" si="50"/>
        <v>0</v>
      </c>
      <c r="AU96" s="522">
        <f t="shared" si="50"/>
        <v>0</v>
      </c>
      <c r="AV96" s="522">
        <f t="shared" si="50"/>
        <v>0</v>
      </c>
      <c r="AW96" s="522">
        <f t="shared" si="50"/>
        <v>0</v>
      </c>
      <c r="AX96" s="522">
        <f t="shared" si="50"/>
        <v>0</v>
      </c>
      <c r="AY96" s="522">
        <f t="shared" si="50"/>
        <v>0</v>
      </c>
      <c r="AZ96" s="522">
        <f t="shared" si="50"/>
        <v>0</v>
      </c>
      <c r="BA96" s="522">
        <f t="shared" si="50"/>
        <v>0</v>
      </c>
      <c r="BB96" s="522">
        <f t="shared" si="50"/>
        <v>0</v>
      </c>
      <c r="BC96" s="522">
        <f t="shared" si="50"/>
        <v>0</v>
      </c>
      <c r="BD96" s="522">
        <f t="shared" si="50"/>
        <v>0</v>
      </c>
      <c r="BE96" s="522">
        <f t="shared" si="50"/>
        <v>0</v>
      </c>
      <c r="BF96" s="522">
        <f t="shared" si="50"/>
        <v>0</v>
      </c>
      <c r="BG96" s="522">
        <f t="shared" si="50"/>
        <v>0</v>
      </c>
      <c r="BH96" s="522">
        <f t="shared" si="50"/>
        <v>0</v>
      </c>
      <c r="BI96" s="522">
        <f t="shared" si="50"/>
        <v>0</v>
      </c>
      <c r="BJ96" s="522">
        <f t="shared" si="50"/>
        <v>0</v>
      </c>
      <c r="BK96" s="522">
        <f t="shared" si="50"/>
        <v>0</v>
      </c>
      <c r="BL96" s="522">
        <f t="shared" si="50"/>
        <v>0</v>
      </c>
      <c r="BM96" s="522">
        <f t="shared" si="50"/>
        <v>0</v>
      </c>
      <c r="BN96" s="522">
        <f t="shared" si="50"/>
        <v>0</v>
      </c>
      <c r="BO96" s="522">
        <f t="shared" si="50"/>
        <v>0</v>
      </c>
      <c r="BP96" s="522">
        <f t="shared" si="50"/>
        <v>0</v>
      </c>
      <c r="BQ96" s="522">
        <f t="shared" si="50"/>
        <v>0</v>
      </c>
      <c r="BR96" s="522">
        <f t="shared" si="50"/>
        <v>0</v>
      </c>
      <c r="BS96" s="522">
        <f t="shared" ref="BS96:CX96" si="51">SUM(BS91:BS95)</f>
        <v>0</v>
      </c>
      <c r="BT96" s="522">
        <f t="shared" si="51"/>
        <v>0</v>
      </c>
      <c r="BU96" s="522">
        <f t="shared" si="51"/>
        <v>0</v>
      </c>
      <c r="BV96" s="522">
        <f t="shared" si="51"/>
        <v>0</v>
      </c>
      <c r="BW96" s="522">
        <f t="shared" si="51"/>
        <v>0</v>
      </c>
      <c r="BX96" s="522">
        <f t="shared" si="51"/>
        <v>0</v>
      </c>
      <c r="BY96" s="522">
        <f t="shared" si="51"/>
        <v>0</v>
      </c>
      <c r="BZ96" s="522">
        <f t="shared" si="51"/>
        <v>0</v>
      </c>
      <c r="CA96" s="522">
        <f t="shared" si="51"/>
        <v>0</v>
      </c>
      <c r="CB96" s="522">
        <f t="shared" si="51"/>
        <v>0</v>
      </c>
      <c r="CC96" s="522">
        <f t="shared" si="51"/>
        <v>0</v>
      </c>
      <c r="CD96" s="522">
        <f t="shared" si="51"/>
        <v>0</v>
      </c>
      <c r="CE96" s="522">
        <f t="shared" si="51"/>
        <v>0</v>
      </c>
      <c r="CF96" s="522">
        <f t="shared" si="51"/>
        <v>0</v>
      </c>
      <c r="CG96" s="522">
        <f t="shared" si="51"/>
        <v>0</v>
      </c>
      <c r="CH96" s="522">
        <f t="shared" si="51"/>
        <v>0</v>
      </c>
      <c r="CI96" s="522">
        <f t="shared" si="51"/>
        <v>0</v>
      </c>
      <c r="CJ96" s="522">
        <f t="shared" si="51"/>
        <v>0</v>
      </c>
      <c r="CK96" s="522">
        <f t="shared" si="51"/>
        <v>0</v>
      </c>
      <c r="CL96" s="522">
        <f t="shared" si="51"/>
        <v>0</v>
      </c>
      <c r="CM96" s="522">
        <f t="shared" si="51"/>
        <v>0</v>
      </c>
      <c r="CN96" s="522">
        <f t="shared" si="51"/>
        <v>0</v>
      </c>
      <c r="CO96" s="522">
        <f t="shared" si="51"/>
        <v>0</v>
      </c>
      <c r="CP96" s="522">
        <f t="shared" si="51"/>
        <v>0</v>
      </c>
      <c r="CQ96" s="522">
        <f t="shared" si="51"/>
        <v>0</v>
      </c>
      <c r="CR96" s="522">
        <f t="shared" si="51"/>
        <v>0</v>
      </c>
      <c r="CS96" s="522">
        <f t="shared" si="51"/>
        <v>0</v>
      </c>
      <c r="CT96" s="522">
        <f t="shared" si="51"/>
        <v>0</v>
      </c>
      <c r="CU96" s="522">
        <f t="shared" si="51"/>
        <v>0</v>
      </c>
      <c r="CV96" s="522">
        <f t="shared" si="51"/>
        <v>0</v>
      </c>
      <c r="CW96" s="522">
        <f t="shared" si="51"/>
        <v>0</v>
      </c>
      <c r="CX96" s="522">
        <f t="shared" si="51"/>
        <v>0</v>
      </c>
      <c r="CY96" s="522">
        <f t="shared" ref="CY96:ED96" si="52">SUM(CY91:CY95)</f>
        <v>0</v>
      </c>
      <c r="CZ96" s="522">
        <f t="shared" si="52"/>
        <v>0</v>
      </c>
      <c r="DA96" s="522">
        <f t="shared" si="52"/>
        <v>0</v>
      </c>
      <c r="DB96" s="522">
        <f t="shared" si="52"/>
        <v>0</v>
      </c>
      <c r="DC96" s="522">
        <f t="shared" si="52"/>
        <v>0</v>
      </c>
      <c r="DD96" s="522">
        <f t="shared" si="52"/>
        <v>0</v>
      </c>
      <c r="DE96" s="522">
        <f t="shared" si="52"/>
        <v>0</v>
      </c>
      <c r="DF96" s="522">
        <f t="shared" si="52"/>
        <v>0</v>
      </c>
      <c r="DG96" s="522">
        <f t="shared" si="52"/>
        <v>0</v>
      </c>
      <c r="DH96" s="522">
        <f t="shared" si="52"/>
        <v>0</v>
      </c>
      <c r="DI96" s="522">
        <f t="shared" si="52"/>
        <v>0</v>
      </c>
      <c r="DJ96" s="522">
        <f t="shared" si="52"/>
        <v>0</v>
      </c>
      <c r="DK96" s="522">
        <f t="shared" si="52"/>
        <v>0</v>
      </c>
      <c r="DL96" s="522">
        <f t="shared" si="52"/>
        <v>0</v>
      </c>
      <c r="DM96" s="522">
        <f t="shared" si="52"/>
        <v>0</v>
      </c>
      <c r="DN96" s="522">
        <f t="shared" si="52"/>
        <v>0</v>
      </c>
      <c r="DO96" s="522">
        <f t="shared" si="52"/>
        <v>0</v>
      </c>
      <c r="DP96" s="522">
        <f t="shared" si="52"/>
        <v>0</v>
      </c>
      <c r="DQ96" s="522">
        <f t="shared" si="52"/>
        <v>0</v>
      </c>
      <c r="DR96" s="522">
        <f t="shared" si="52"/>
        <v>0</v>
      </c>
      <c r="DS96" s="522">
        <f t="shared" si="52"/>
        <v>0</v>
      </c>
      <c r="DT96" s="522">
        <f t="shared" si="52"/>
        <v>0</v>
      </c>
      <c r="DU96" s="522">
        <f t="shared" si="52"/>
        <v>0</v>
      </c>
      <c r="DV96" s="522">
        <f t="shared" si="52"/>
        <v>0</v>
      </c>
      <c r="DW96" s="522">
        <f t="shared" si="52"/>
        <v>0</v>
      </c>
      <c r="DX96" s="522">
        <f t="shared" si="52"/>
        <v>0</v>
      </c>
      <c r="DY96" s="522">
        <f t="shared" si="52"/>
        <v>0</v>
      </c>
      <c r="DZ96" s="522">
        <f t="shared" si="52"/>
        <v>0</v>
      </c>
      <c r="EA96" s="522">
        <f t="shared" si="52"/>
        <v>0</v>
      </c>
      <c r="EB96" s="522">
        <f t="shared" si="52"/>
        <v>0</v>
      </c>
      <c r="EC96" s="522">
        <f t="shared" si="52"/>
        <v>0</v>
      </c>
      <c r="ED96" s="522">
        <f t="shared" si="52"/>
        <v>0</v>
      </c>
      <c r="EE96" s="522">
        <f t="shared" ref="EE96:FJ96" si="53">SUM(EE91:EE95)</f>
        <v>0</v>
      </c>
      <c r="EF96" s="522">
        <f t="shared" si="53"/>
        <v>0</v>
      </c>
      <c r="EG96" s="522">
        <f t="shared" si="53"/>
        <v>0</v>
      </c>
      <c r="EH96" s="522">
        <f t="shared" si="53"/>
        <v>0</v>
      </c>
      <c r="EI96" s="522">
        <f t="shared" si="53"/>
        <v>0</v>
      </c>
      <c r="EJ96" s="522">
        <f t="shared" si="53"/>
        <v>0</v>
      </c>
      <c r="EK96" s="522">
        <f t="shared" si="53"/>
        <v>0</v>
      </c>
      <c r="EL96" s="522">
        <f t="shared" si="53"/>
        <v>0</v>
      </c>
    </row>
    <row r="97" spans="1:142" s="778" customFormat="1" ht="30.75" customHeight="1">
      <c r="A97" s="535"/>
      <c r="B97" s="536"/>
      <c r="C97" s="494" t="s">
        <v>1028</v>
      </c>
      <c r="D97" s="535"/>
      <c r="E97" s="536"/>
      <c r="F97" s="535"/>
      <c r="G97" s="539"/>
      <c r="H97" s="539"/>
      <c r="I97" s="539"/>
      <c r="J97" s="539"/>
      <c r="K97" s="540"/>
      <c r="L97" s="540"/>
      <c r="M97" s="540"/>
      <c r="N97" s="541"/>
      <c r="O97" s="540"/>
      <c r="P97" s="540"/>
      <c r="Q97" s="540"/>
      <c r="R97" s="541"/>
      <c r="S97" s="540"/>
      <c r="T97" s="541"/>
      <c r="U97" s="541"/>
      <c r="V97" s="541"/>
      <c r="W97" s="540"/>
      <c r="X97" s="540"/>
      <c r="Y97" s="575"/>
      <c r="Z97" s="575"/>
      <c r="AA97" s="575"/>
      <c r="AB97" s="575"/>
      <c r="AC97" s="575"/>
      <c r="AD97" s="575"/>
      <c r="AE97" s="575"/>
      <c r="AF97" s="575"/>
      <c r="AG97" s="575"/>
      <c r="AH97" s="575"/>
      <c r="AI97" s="497"/>
      <c r="AJ97" s="497"/>
      <c r="AK97" s="497"/>
      <c r="AL97" s="497"/>
      <c r="AM97" s="497"/>
      <c r="AN97" s="497"/>
      <c r="AO97" s="497"/>
      <c r="AP97" s="497"/>
      <c r="AQ97" s="497"/>
      <c r="AR97" s="497"/>
      <c r="AS97" s="497"/>
      <c r="AT97" s="497"/>
      <c r="AU97" s="497"/>
      <c r="AV97" s="497"/>
      <c r="AW97" s="497"/>
      <c r="AX97" s="497"/>
      <c r="AY97" s="497"/>
      <c r="AZ97" s="497"/>
      <c r="BA97" s="497"/>
      <c r="BB97" s="497"/>
      <c r="BC97" s="497"/>
      <c r="BD97" s="497"/>
      <c r="BE97" s="497"/>
      <c r="BF97" s="497"/>
      <c r="BG97" s="497"/>
      <c r="BH97" s="497"/>
      <c r="BI97" s="497"/>
      <c r="BJ97" s="497"/>
      <c r="BK97" s="497"/>
      <c r="BL97" s="497"/>
      <c r="BM97" s="497"/>
      <c r="BN97" s="497"/>
      <c r="BO97" s="497"/>
      <c r="BP97" s="497"/>
      <c r="BQ97" s="497"/>
      <c r="BR97" s="497"/>
      <c r="BS97" s="497"/>
      <c r="BT97" s="497"/>
      <c r="BU97" s="497"/>
      <c r="BV97" s="497"/>
      <c r="BW97" s="497"/>
      <c r="BX97" s="497"/>
      <c r="BY97" s="497"/>
      <c r="BZ97" s="497"/>
      <c r="CA97" s="497"/>
      <c r="CB97" s="497"/>
      <c r="CC97" s="497"/>
      <c r="CD97" s="497"/>
      <c r="CE97" s="497"/>
      <c r="CF97" s="497"/>
      <c r="CG97" s="497"/>
      <c r="CH97" s="497"/>
      <c r="CI97" s="497"/>
      <c r="CJ97" s="497"/>
      <c r="CK97" s="497"/>
      <c r="CL97" s="497"/>
      <c r="CM97" s="497"/>
      <c r="CN97" s="497"/>
      <c r="CO97" s="497"/>
      <c r="CP97" s="497"/>
      <c r="CQ97" s="497"/>
      <c r="CR97" s="497"/>
      <c r="CS97" s="497"/>
      <c r="CT97" s="497"/>
      <c r="CU97" s="497"/>
      <c r="CV97" s="497"/>
      <c r="CW97" s="497"/>
      <c r="CX97" s="497"/>
      <c r="CY97" s="497"/>
      <c r="CZ97" s="497"/>
      <c r="DA97" s="497"/>
      <c r="DB97" s="497"/>
      <c r="DC97" s="497"/>
      <c r="DD97" s="497"/>
      <c r="DE97" s="497"/>
      <c r="DF97" s="498"/>
      <c r="DG97" s="497"/>
      <c r="DH97" s="497"/>
      <c r="DI97" s="497"/>
      <c r="DJ97" s="497"/>
      <c r="DK97" s="497"/>
      <c r="DL97" s="497"/>
      <c r="DM97" s="497"/>
      <c r="DN97" s="497"/>
      <c r="DO97" s="497"/>
      <c r="DP97" s="497"/>
      <c r="DQ97" s="497"/>
      <c r="DR97" s="497"/>
      <c r="DS97" s="497"/>
      <c r="DT97" s="497"/>
      <c r="DU97" s="497"/>
      <c r="DV97" s="497"/>
      <c r="DW97" s="497"/>
      <c r="DX97" s="497"/>
      <c r="DY97" s="497"/>
      <c r="DZ97" s="497"/>
      <c r="EA97" s="497"/>
      <c r="EB97" s="497"/>
      <c r="EC97" s="497"/>
      <c r="ED97" s="497"/>
      <c r="EE97" s="497"/>
      <c r="EF97" s="497"/>
      <c r="EG97" s="497"/>
      <c r="EH97" s="497"/>
      <c r="EI97" s="497"/>
      <c r="EJ97" s="497"/>
      <c r="EK97" s="497"/>
      <c r="EL97" s="497"/>
    </row>
    <row r="98" spans="1:142" ht="45" customHeight="1">
      <c r="A98" s="527"/>
      <c r="B98" s="626"/>
      <c r="C98" s="627"/>
      <c r="D98" s="527"/>
      <c r="E98" s="527"/>
      <c r="F98" s="527"/>
      <c r="G98" s="628"/>
      <c r="H98" s="628"/>
      <c r="I98" s="628"/>
      <c r="J98" s="628"/>
      <c r="K98" s="628"/>
      <c r="L98" s="628"/>
      <c r="M98" s="628"/>
      <c r="N98" s="628"/>
      <c r="O98" s="628"/>
      <c r="P98" s="628"/>
      <c r="Q98" s="628"/>
      <c r="R98" s="628"/>
      <c r="S98" s="628"/>
      <c r="T98" s="628"/>
      <c r="U98" s="628"/>
      <c r="V98" s="628"/>
      <c r="W98" s="628"/>
      <c r="X98" s="628"/>
      <c r="Y98" s="629"/>
      <c r="Z98" s="629"/>
      <c r="AA98" s="629"/>
      <c r="AB98" s="629"/>
      <c r="AC98" s="629"/>
      <c r="AD98" s="629"/>
      <c r="AE98" s="629"/>
      <c r="AF98" s="629"/>
      <c r="AG98" s="629"/>
      <c r="AH98" s="629"/>
      <c r="AI98" s="508"/>
      <c r="AJ98" s="508"/>
      <c r="AK98" s="508"/>
      <c r="AL98" s="508"/>
      <c r="AM98" s="508"/>
      <c r="AN98" s="508"/>
      <c r="AO98" s="508"/>
      <c r="AP98" s="508"/>
      <c r="AQ98" s="508"/>
      <c r="AR98" s="508"/>
      <c r="AS98" s="508"/>
      <c r="AT98" s="508"/>
      <c r="AU98" s="508"/>
      <c r="AV98" s="508"/>
      <c r="AW98" s="508"/>
      <c r="AX98" s="508"/>
      <c r="AY98" s="508"/>
      <c r="AZ98" s="508"/>
      <c r="BA98" s="508"/>
      <c r="BB98" s="508"/>
      <c r="BC98" s="508"/>
      <c r="BD98" s="508"/>
      <c r="BE98" s="508"/>
      <c r="BF98" s="508"/>
      <c r="BG98" s="508"/>
      <c r="BH98" s="508"/>
      <c r="BI98" s="508"/>
      <c r="BJ98" s="508"/>
      <c r="BK98" s="508"/>
      <c r="BL98" s="508"/>
      <c r="BM98" s="508"/>
      <c r="BN98" s="508"/>
      <c r="BO98" s="508"/>
      <c r="BP98" s="508"/>
      <c r="BQ98" s="508"/>
      <c r="BR98" s="508"/>
      <c r="BS98" s="508"/>
      <c r="BT98" s="508"/>
      <c r="BU98" s="508"/>
      <c r="BV98" s="508"/>
      <c r="BW98" s="508"/>
      <c r="BX98" s="508"/>
      <c r="BY98" s="508"/>
      <c r="BZ98" s="508"/>
      <c r="CA98" s="508"/>
      <c r="CB98" s="508"/>
      <c r="CC98" s="508"/>
      <c r="CD98" s="508"/>
      <c r="CE98" s="508"/>
      <c r="CF98" s="508"/>
      <c r="CG98" s="508"/>
      <c r="CH98" s="508"/>
      <c r="CI98" s="508"/>
      <c r="CJ98" s="508"/>
      <c r="CK98" s="508"/>
      <c r="CL98" s="508"/>
      <c r="CM98" s="508"/>
      <c r="CN98" s="508"/>
      <c r="CO98" s="508"/>
      <c r="CP98" s="508"/>
      <c r="CQ98" s="508"/>
      <c r="CR98" s="508"/>
      <c r="CS98" s="508"/>
      <c r="CT98" s="508"/>
      <c r="CU98" s="508"/>
      <c r="CV98" s="508"/>
      <c r="CW98" s="508"/>
      <c r="CX98" s="508"/>
      <c r="CY98" s="508"/>
      <c r="CZ98" s="508"/>
      <c r="DA98" s="508"/>
      <c r="DB98" s="508"/>
      <c r="DC98" s="508"/>
      <c r="DD98" s="508"/>
      <c r="DE98" s="508"/>
      <c r="DF98" s="509"/>
      <c r="DG98" s="508"/>
      <c r="DH98" s="508"/>
      <c r="DI98" s="508"/>
      <c r="DJ98" s="508"/>
      <c r="DK98" s="508"/>
      <c r="DL98" s="508"/>
      <c r="DM98" s="508"/>
      <c r="DN98" s="508"/>
      <c r="DO98" s="508"/>
      <c r="DP98" s="508"/>
      <c r="DQ98" s="508"/>
      <c r="DR98" s="508"/>
      <c r="DS98" s="508"/>
      <c r="DT98" s="508"/>
      <c r="DU98" s="508"/>
      <c r="DV98" s="508"/>
      <c r="DW98" s="508"/>
      <c r="DX98" s="508"/>
      <c r="DY98" s="508"/>
      <c r="DZ98" s="508"/>
      <c r="EA98" s="508"/>
      <c r="EB98" s="508"/>
      <c r="EC98" s="508"/>
      <c r="ED98" s="508"/>
      <c r="EE98" s="508"/>
      <c r="EF98" s="508"/>
      <c r="EG98" s="508"/>
      <c r="EH98" s="508"/>
      <c r="EI98" s="508"/>
      <c r="EJ98" s="508"/>
      <c r="EK98" s="508"/>
      <c r="EL98" s="508"/>
    </row>
    <row r="99" spans="1:142" s="784" customFormat="1" ht="45" customHeight="1">
      <c r="A99" s="542"/>
      <c r="B99" s="630"/>
      <c r="C99" s="631"/>
      <c r="D99" s="632"/>
      <c r="E99" s="542"/>
      <c r="F99" s="542"/>
      <c r="G99" s="633"/>
      <c r="H99" s="633"/>
      <c r="I99" s="633"/>
      <c r="J99" s="633"/>
      <c r="K99" s="633"/>
      <c r="L99" s="633"/>
      <c r="M99" s="633"/>
      <c r="N99" s="634"/>
      <c r="O99" s="633"/>
      <c r="P99" s="633"/>
      <c r="Q99" s="633"/>
      <c r="R99" s="634"/>
      <c r="S99" s="633"/>
      <c r="T99" s="634"/>
      <c r="U99" s="634"/>
      <c r="V99" s="634"/>
      <c r="W99" s="633"/>
      <c r="X99" s="633"/>
      <c r="Y99" s="635"/>
      <c r="Z99" s="635"/>
      <c r="AA99" s="635"/>
      <c r="AB99" s="635"/>
      <c r="AC99" s="635"/>
      <c r="AD99" s="635"/>
      <c r="AE99" s="635"/>
      <c r="AF99" s="635"/>
      <c r="AG99" s="635"/>
      <c r="AH99" s="635"/>
      <c r="AI99" s="553"/>
      <c r="AJ99" s="553"/>
      <c r="AK99" s="553"/>
      <c r="AL99" s="553"/>
      <c r="AM99" s="553"/>
      <c r="AN99" s="553"/>
      <c r="AO99" s="553"/>
      <c r="AP99" s="553"/>
      <c r="AQ99" s="553"/>
      <c r="AR99" s="553"/>
      <c r="AS99" s="553"/>
      <c r="AT99" s="553"/>
      <c r="AU99" s="553"/>
      <c r="AV99" s="553"/>
      <c r="AW99" s="553"/>
      <c r="AX99" s="553"/>
      <c r="AY99" s="553"/>
      <c r="AZ99" s="553"/>
      <c r="BA99" s="553"/>
      <c r="BB99" s="553"/>
      <c r="BC99" s="553"/>
      <c r="BD99" s="553"/>
      <c r="BE99" s="553"/>
      <c r="BF99" s="553"/>
      <c r="BG99" s="553"/>
      <c r="BH99" s="553"/>
      <c r="BI99" s="553"/>
      <c r="BJ99" s="553"/>
      <c r="BK99" s="553"/>
      <c r="BL99" s="553"/>
      <c r="BM99" s="553"/>
      <c r="BN99" s="553"/>
      <c r="BO99" s="553"/>
      <c r="BP99" s="553"/>
      <c r="BQ99" s="553"/>
      <c r="BR99" s="553"/>
      <c r="BS99" s="553"/>
      <c r="BT99" s="553"/>
      <c r="BU99" s="553"/>
      <c r="BV99" s="553"/>
      <c r="BW99" s="553"/>
      <c r="BX99" s="553"/>
      <c r="BY99" s="553"/>
      <c r="BZ99" s="553"/>
      <c r="CA99" s="553"/>
      <c r="CB99" s="553"/>
      <c r="CC99" s="553"/>
      <c r="CD99" s="553"/>
      <c r="CE99" s="553"/>
      <c r="CF99" s="553"/>
      <c r="CG99" s="553"/>
      <c r="CH99" s="553"/>
      <c r="CI99" s="553"/>
      <c r="CJ99" s="553"/>
      <c r="CK99" s="553"/>
      <c r="CL99" s="553"/>
      <c r="CM99" s="553"/>
      <c r="CN99" s="553"/>
      <c r="CO99" s="553"/>
      <c r="CP99" s="553"/>
      <c r="CQ99" s="553"/>
      <c r="CR99" s="553"/>
      <c r="CS99" s="553"/>
      <c r="CT99" s="553"/>
      <c r="CU99" s="553"/>
      <c r="CV99" s="553"/>
      <c r="CW99" s="553"/>
      <c r="CX99" s="553"/>
      <c r="CY99" s="553"/>
      <c r="CZ99" s="553"/>
      <c r="DA99" s="553"/>
      <c r="DB99" s="553"/>
      <c r="DC99" s="553"/>
      <c r="DD99" s="553"/>
      <c r="DE99" s="553"/>
      <c r="DF99" s="556"/>
      <c r="DG99" s="553"/>
      <c r="DH99" s="553"/>
      <c r="DI99" s="553"/>
      <c r="DJ99" s="553"/>
      <c r="DK99" s="553"/>
      <c r="DL99" s="553"/>
      <c r="DM99" s="553"/>
      <c r="DN99" s="553"/>
      <c r="DO99" s="553"/>
      <c r="DP99" s="553"/>
      <c r="DQ99" s="553"/>
      <c r="DR99" s="553"/>
      <c r="DS99" s="553"/>
      <c r="DT99" s="553"/>
      <c r="DU99" s="553"/>
      <c r="DV99" s="553"/>
      <c r="DW99" s="553"/>
      <c r="DX99" s="553"/>
      <c r="DY99" s="553"/>
      <c r="DZ99" s="553"/>
      <c r="EA99" s="553"/>
      <c r="EB99" s="553"/>
      <c r="EC99" s="553"/>
      <c r="ED99" s="553"/>
      <c r="EE99" s="553"/>
      <c r="EF99" s="553"/>
      <c r="EG99" s="553"/>
      <c r="EH99" s="553"/>
      <c r="EI99" s="553"/>
      <c r="EJ99" s="553"/>
      <c r="EK99" s="553"/>
      <c r="EL99" s="553"/>
    </row>
    <row r="100" spans="1:142" s="785" customFormat="1" ht="33" customHeight="1">
      <c r="A100" s="860" t="s">
        <v>1029</v>
      </c>
      <c r="B100" s="807"/>
      <c r="C100" s="807"/>
      <c r="D100" s="807"/>
      <c r="E100" s="807"/>
      <c r="F100" s="807"/>
      <c r="G100" s="636">
        <f t="shared" ref="G100:AL100" si="54">SUM(G21,G28,G36,G45,G74,G89,G96)</f>
        <v>23463.7382</v>
      </c>
      <c r="H100" s="636" t="e">
        <f t="shared" si="54"/>
        <v>#REF!</v>
      </c>
      <c r="I100" s="636" t="e">
        <f t="shared" si="54"/>
        <v>#REF!</v>
      </c>
      <c r="J100" s="636" t="e">
        <f t="shared" si="54"/>
        <v>#REF!</v>
      </c>
      <c r="K100" s="636">
        <f t="shared" si="54"/>
        <v>41334.257794659374</v>
      </c>
      <c r="L100" s="636">
        <f t="shared" si="54"/>
        <v>12507.221648672567</v>
      </c>
      <c r="M100" s="636">
        <f t="shared" si="54"/>
        <v>1461</v>
      </c>
      <c r="N100" s="637">
        <f t="shared" si="54"/>
        <v>0</v>
      </c>
      <c r="O100" s="636">
        <f t="shared" si="54"/>
        <v>0</v>
      </c>
      <c r="P100" s="636">
        <f t="shared" si="54"/>
        <v>27703.143960377354</v>
      </c>
      <c r="Q100" s="636">
        <f t="shared" si="54"/>
        <v>26361.1291564368</v>
      </c>
      <c r="R100" s="637">
        <f t="shared" si="54"/>
        <v>8299.4408418141611</v>
      </c>
      <c r="S100" s="636">
        <f t="shared" si="54"/>
        <v>1096</v>
      </c>
      <c r="T100" s="637">
        <f t="shared" si="54"/>
        <v>0</v>
      </c>
      <c r="U100" s="637">
        <f t="shared" si="54"/>
        <v>0</v>
      </c>
      <c r="V100" s="637">
        <f t="shared" si="54"/>
        <v>16965.303899528299</v>
      </c>
      <c r="W100" s="636">
        <f t="shared" si="54"/>
        <v>14933.505053316916</v>
      </c>
      <c r="X100" s="636">
        <f t="shared" si="54"/>
        <v>4841.066600000001</v>
      </c>
      <c r="Y100" s="636">
        <f t="shared" si="54"/>
        <v>282.57339999999999</v>
      </c>
      <c r="Z100" s="636">
        <f t="shared" si="54"/>
        <v>0</v>
      </c>
      <c r="AA100" s="636">
        <f t="shared" si="54"/>
        <v>0</v>
      </c>
      <c r="AB100" s="636">
        <f t="shared" si="54"/>
        <v>0</v>
      </c>
      <c r="AC100" s="636">
        <f t="shared" si="54"/>
        <v>0</v>
      </c>
      <c r="AD100" s="636">
        <f t="shared" si="54"/>
        <v>0</v>
      </c>
      <c r="AE100" s="636">
        <f t="shared" si="54"/>
        <v>0</v>
      </c>
      <c r="AF100" s="636">
        <f t="shared" si="54"/>
        <v>0</v>
      </c>
      <c r="AG100" s="636">
        <f t="shared" si="54"/>
        <v>0</v>
      </c>
      <c r="AH100" s="636">
        <f t="shared" si="54"/>
        <v>0</v>
      </c>
      <c r="AI100" s="636">
        <f t="shared" si="54"/>
        <v>0</v>
      </c>
      <c r="AJ100" s="636">
        <f t="shared" si="54"/>
        <v>0</v>
      </c>
      <c r="AK100" s="636">
        <f t="shared" si="54"/>
        <v>0</v>
      </c>
      <c r="AL100" s="636">
        <f t="shared" si="54"/>
        <v>0</v>
      </c>
      <c r="AM100" s="636">
        <f t="shared" ref="AM100:BR100" si="55">SUM(AM21,AM28,AM36,AM45,AM74,AM89,AM96)</f>
        <v>0</v>
      </c>
      <c r="AN100" s="636">
        <f t="shared" si="55"/>
        <v>0</v>
      </c>
      <c r="AO100" s="636">
        <f t="shared" si="55"/>
        <v>0</v>
      </c>
      <c r="AP100" s="636">
        <f t="shared" si="55"/>
        <v>0</v>
      </c>
      <c r="AQ100" s="636">
        <f t="shared" si="55"/>
        <v>0</v>
      </c>
      <c r="AR100" s="636">
        <f t="shared" si="55"/>
        <v>0</v>
      </c>
      <c r="AS100" s="636">
        <f t="shared" si="55"/>
        <v>0</v>
      </c>
      <c r="AT100" s="636">
        <f t="shared" si="55"/>
        <v>0</v>
      </c>
      <c r="AU100" s="636">
        <f t="shared" si="55"/>
        <v>0</v>
      </c>
      <c r="AV100" s="636">
        <f t="shared" si="55"/>
        <v>0</v>
      </c>
      <c r="AW100" s="636">
        <f t="shared" si="55"/>
        <v>0</v>
      </c>
      <c r="AX100" s="636">
        <f t="shared" si="55"/>
        <v>0</v>
      </c>
      <c r="AY100" s="636">
        <f t="shared" si="55"/>
        <v>0</v>
      </c>
      <c r="AZ100" s="636">
        <f t="shared" si="55"/>
        <v>0</v>
      </c>
      <c r="BA100" s="636">
        <f t="shared" si="55"/>
        <v>0</v>
      </c>
      <c r="BB100" s="636">
        <f t="shared" si="55"/>
        <v>0</v>
      </c>
      <c r="BC100" s="636">
        <f t="shared" si="55"/>
        <v>0</v>
      </c>
      <c r="BD100" s="636">
        <f t="shared" si="55"/>
        <v>0</v>
      </c>
      <c r="BE100" s="636">
        <f t="shared" si="55"/>
        <v>0</v>
      </c>
      <c r="BF100" s="636">
        <f t="shared" si="55"/>
        <v>0</v>
      </c>
      <c r="BG100" s="636">
        <f t="shared" si="55"/>
        <v>0</v>
      </c>
      <c r="BH100" s="636">
        <f t="shared" si="55"/>
        <v>0</v>
      </c>
      <c r="BI100" s="636">
        <f t="shared" si="55"/>
        <v>0</v>
      </c>
      <c r="BJ100" s="636">
        <f t="shared" si="55"/>
        <v>0</v>
      </c>
      <c r="BK100" s="636">
        <f t="shared" si="55"/>
        <v>0</v>
      </c>
      <c r="BL100" s="636">
        <f t="shared" si="55"/>
        <v>0</v>
      </c>
      <c r="BM100" s="636">
        <f t="shared" si="55"/>
        <v>0</v>
      </c>
      <c r="BN100" s="636">
        <f t="shared" si="55"/>
        <v>0</v>
      </c>
      <c r="BO100" s="636">
        <f t="shared" si="55"/>
        <v>0</v>
      </c>
      <c r="BP100" s="636">
        <f t="shared" si="55"/>
        <v>0</v>
      </c>
      <c r="BQ100" s="636">
        <f t="shared" si="55"/>
        <v>0</v>
      </c>
      <c r="BR100" s="636">
        <f t="shared" si="55"/>
        <v>0</v>
      </c>
      <c r="BS100" s="636">
        <f t="shared" ref="BS100:CX100" si="56">SUM(BS21,BS28,BS36,BS45,BS74,BS89,BS96)</f>
        <v>0</v>
      </c>
      <c r="BT100" s="636">
        <f t="shared" si="56"/>
        <v>0</v>
      </c>
      <c r="BU100" s="636">
        <f t="shared" si="56"/>
        <v>0</v>
      </c>
      <c r="BV100" s="636">
        <f t="shared" si="56"/>
        <v>0</v>
      </c>
      <c r="BW100" s="636">
        <f t="shared" si="56"/>
        <v>0</v>
      </c>
      <c r="BX100" s="636">
        <f t="shared" si="56"/>
        <v>0</v>
      </c>
      <c r="BY100" s="636">
        <f t="shared" si="56"/>
        <v>0</v>
      </c>
      <c r="BZ100" s="636">
        <f t="shared" si="56"/>
        <v>0</v>
      </c>
      <c r="CA100" s="636">
        <f t="shared" si="56"/>
        <v>0</v>
      </c>
      <c r="CB100" s="636">
        <f t="shared" si="56"/>
        <v>0</v>
      </c>
      <c r="CC100" s="636">
        <f t="shared" si="56"/>
        <v>0</v>
      </c>
      <c r="CD100" s="636">
        <f t="shared" si="56"/>
        <v>0</v>
      </c>
      <c r="CE100" s="636">
        <f t="shared" si="56"/>
        <v>0</v>
      </c>
      <c r="CF100" s="636">
        <f t="shared" si="56"/>
        <v>0</v>
      </c>
      <c r="CG100" s="636">
        <f t="shared" si="56"/>
        <v>0</v>
      </c>
      <c r="CH100" s="636">
        <f t="shared" si="56"/>
        <v>0</v>
      </c>
      <c r="CI100" s="636">
        <f t="shared" si="56"/>
        <v>0</v>
      </c>
      <c r="CJ100" s="636">
        <f t="shared" si="56"/>
        <v>0</v>
      </c>
      <c r="CK100" s="636">
        <f t="shared" si="56"/>
        <v>0</v>
      </c>
      <c r="CL100" s="636">
        <f t="shared" si="56"/>
        <v>0</v>
      </c>
      <c r="CM100" s="636">
        <f t="shared" si="56"/>
        <v>0</v>
      </c>
      <c r="CN100" s="636">
        <f t="shared" si="56"/>
        <v>0</v>
      </c>
      <c r="CO100" s="636">
        <f t="shared" si="56"/>
        <v>0</v>
      </c>
      <c r="CP100" s="636">
        <f t="shared" si="56"/>
        <v>0</v>
      </c>
      <c r="CQ100" s="636">
        <f t="shared" si="56"/>
        <v>0</v>
      </c>
      <c r="CR100" s="636">
        <f t="shared" si="56"/>
        <v>0</v>
      </c>
      <c r="CS100" s="636">
        <f t="shared" si="56"/>
        <v>0</v>
      </c>
      <c r="CT100" s="636">
        <f t="shared" si="56"/>
        <v>0</v>
      </c>
      <c r="CU100" s="636">
        <f t="shared" si="56"/>
        <v>0</v>
      </c>
      <c r="CV100" s="636">
        <f t="shared" si="56"/>
        <v>0</v>
      </c>
      <c r="CW100" s="636">
        <f t="shared" si="56"/>
        <v>0</v>
      </c>
      <c r="CX100" s="636">
        <f t="shared" si="56"/>
        <v>0</v>
      </c>
      <c r="CY100" s="636">
        <f t="shared" ref="CY100:ED100" si="57">SUM(CY21,CY28,CY36,CY45,CY74,CY89,CY96)</f>
        <v>0</v>
      </c>
      <c r="CZ100" s="636">
        <f t="shared" si="57"/>
        <v>0</v>
      </c>
      <c r="DA100" s="636">
        <f t="shared" si="57"/>
        <v>0</v>
      </c>
      <c r="DB100" s="636">
        <f t="shared" si="57"/>
        <v>0</v>
      </c>
      <c r="DC100" s="636">
        <f t="shared" si="57"/>
        <v>0</v>
      </c>
      <c r="DD100" s="636">
        <f t="shared" si="57"/>
        <v>0</v>
      </c>
      <c r="DE100" s="636">
        <f t="shared" si="57"/>
        <v>0</v>
      </c>
      <c r="DF100" s="636">
        <f t="shared" si="57"/>
        <v>0</v>
      </c>
      <c r="DG100" s="636">
        <f t="shared" si="57"/>
        <v>0</v>
      </c>
      <c r="DH100" s="636">
        <f t="shared" si="57"/>
        <v>0</v>
      </c>
      <c r="DI100" s="636">
        <f t="shared" si="57"/>
        <v>0</v>
      </c>
      <c r="DJ100" s="636">
        <f t="shared" si="57"/>
        <v>0</v>
      </c>
      <c r="DK100" s="636">
        <f t="shared" si="57"/>
        <v>0</v>
      </c>
      <c r="DL100" s="636">
        <f t="shared" si="57"/>
        <v>0</v>
      </c>
      <c r="DM100" s="636">
        <f t="shared" si="57"/>
        <v>0</v>
      </c>
      <c r="DN100" s="636">
        <f t="shared" si="57"/>
        <v>0</v>
      </c>
      <c r="DO100" s="636">
        <f t="shared" si="57"/>
        <v>0</v>
      </c>
      <c r="DP100" s="636">
        <f t="shared" si="57"/>
        <v>0</v>
      </c>
      <c r="DQ100" s="636">
        <f t="shared" si="57"/>
        <v>0</v>
      </c>
      <c r="DR100" s="636">
        <f t="shared" si="57"/>
        <v>0</v>
      </c>
      <c r="DS100" s="636">
        <f t="shared" si="57"/>
        <v>0</v>
      </c>
      <c r="DT100" s="636">
        <f t="shared" si="57"/>
        <v>0</v>
      </c>
      <c r="DU100" s="636">
        <f t="shared" si="57"/>
        <v>0</v>
      </c>
      <c r="DV100" s="636">
        <f t="shared" si="57"/>
        <v>0</v>
      </c>
      <c r="DW100" s="636">
        <f t="shared" si="57"/>
        <v>0</v>
      </c>
      <c r="DX100" s="636">
        <f t="shared" si="57"/>
        <v>0</v>
      </c>
      <c r="DY100" s="636">
        <f t="shared" si="57"/>
        <v>0</v>
      </c>
      <c r="DZ100" s="636">
        <f t="shared" si="57"/>
        <v>0</v>
      </c>
      <c r="EA100" s="636">
        <f t="shared" si="57"/>
        <v>0</v>
      </c>
      <c r="EB100" s="636">
        <f t="shared" si="57"/>
        <v>0</v>
      </c>
      <c r="EC100" s="636">
        <f t="shared" si="57"/>
        <v>0</v>
      </c>
      <c r="ED100" s="636">
        <f t="shared" si="57"/>
        <v>0</v>
      </c>
      <c r="EE100" s="636">
        <f t="shared" ref="EE100:EL100" si="58">SUM(EE21,EE28,EE36,EE45,EE74,EE89,EE96)</f>
        <v>0</v>
      </c>
      <c r="EF100" s="636">
        <f t="shared" si="58"/>
        <v>0</v>
      </c>
      <c r="EG100" s="636">
        <f t="shared" si="58"/>
        <v>0</v>
      </c>
      <c r="EH100" s="636">
        <f t="shared" si="58"/>
        <v>0</v>
      </c>
      <c r="EI100" s="636">
        <f t="shared" si="58"/>
        <v>0</v>
      </c>
      <c r="EJ100" s="636">
        <f t="shared" si="58"/>
        <v>0</v>
      </c>
      <c r="EK100" s="636">
        <f t="shared" si="58"/>
        <v>0</v>
      </c>
      <c r="EL100" s="636">
        <f t="shared" si="58"/>
        <v>0</v>
      </c>
    </row>
    <row r="101" spans="1:142">
      <c r="A101" s="478"/>
      <c r="B101" s="479"/>
      <c r="C101" s="479"/>
      <c r="D101" s="478"/>
      <c r="E101" s="480"/>
      <c r="F101" s="478"/>
      <c r="G101" s="481"/>
      <c r="H101" s="481"/>
      <c r="I101" s="481"/>
      <c r="J101" s="481"/>
      <c r="K101" s="482"/>
      <c r="L101" s="482"/>
      <c r="M101" s="482"/>
      <c r="N101" s="482"/>
      <c r="O101" s="482"/>
      <c r="P101" s="482"/>
      <c r="Q101" s="482"/>
      <c r="R101" s="481"/>
      <c r="S101" s="481"/>
      <c r="T101" s="481"/>
      <c r="U101" s="481"/>
      <c r="V101" s="481"/>
      <c r="W101" s="481"/>
      <c r="X101" s="481"/>
      <c r="Y101" s="480"/>
      <c r="Z101" s="480"/>
      <c r="AA101" s="480"/>
      <c r="AB101" s="480"/>
      <c r="AC101" s="480"/>
      <c r="AD101" s="480"/>
      <c r="AE101" s="480"/>
      <c r="AF101" s="480"/>
      <c r="AG101" s="480"/>
      <c r="AH101" s="480"/>
      <c r="AI101" s="483"/>
      <c r="AJ101" s="483"/>
      <c r="AK101" s="483"/>
      <c r="AL101" s="483"/>
      <c r="AM101" s="483"/>
      <c r="AN101" s="483"/>
      <c r="AO101" s="483"/>
      <c r="AP101" s="483"/>
      <c r="AQ101" s="483"/>
      <c r="AR101" s="483"/>
      <c r="AS101" s="483"/>
      <c r="AT101" s="483"/>
      <c r="AU101" s="483"/>
      <c r="AV101" s="483"/>
      <c r="AW101" s="483"/>
      <c r="AX101" s="483"/>
      <c r="AY101" s="483"/>
      <c r="AZ101" s="483"/>
      <c r="BA101" s="483"/>
      <c r="BB101" s="483"/>
      <c r="BC101" s="483"/>
      <c r="BD101" s="483"/>
      <c r="BE101" s="483"/>
      <c r="BF101" s="483"/>
      <c r="BG101" s="483"/>
      <c r="BH101" s="483"/>
      <c r="BI101" s="483"/>
      <c r="BJ101" s="483"/>
      <c r="BK101" s="483"/>
      <c r="BL101" s="483"/>
      <c r="BM101" s="483"/>
      <c r="BN101" s="483"/>
      <c r="BO101" s="483"/>
      <c r="BP101" s="483"/>
      <c r="BQ101" s="483"/>
      <c r="BR101" s="483"/>
      <c r="BS101" s="483"/>
      <c r="BT101" s="483"/>
      <c r="BU101" s="483"/>
      <c r="BV101" s="483"/>
      <c r="BW101" s="483"/>
      <c r="BX101" s="483"/>
      <c r="BY101" s="483"/>
      <c r="BZ101" s="483"/>
      <c r="CA101" s="483"/>
      <c r="CB101" s="483"/>
      <c r="CC101" s="483"/>
      <c r="CD101" s="483"/>
      <c r="CE101" s="483"/>
      <c r="CF101" s="483"/>
      <c r="CG101" s="483"/>
      <c r="CH101" s="483"/>
      <c r="CI101" s="483"/>
      <c r="CJ101" s="483"/>
      <c r="CK101" s="483"/>
      <c r="CL101" s="483"/>
      <c r="CM101" s="483"/>
      <c r="CN101" s="483"/>
      <c r="CO101" s="483"/>
      <c r="CP101" s="483"/>
      <c r="CQ101" s="483"/>
      <c r="CR101" s="483"/>
      <c r="CS101" s="483"/>
      <c r="CT101" s="483"/>
      <c r="CU101" s="483"/>
      <c r="CV101" s="483"/>
      <c r="CW101" s="483"/>
      <c r="CX101" s="483"/>
      <c r="CY101" s="483"/>
      <c r="CZ101" s="483"/>
      <c r="DA101" s="483"/>
      <c r="DB101" s="483"/>
      <c r="DC101" s="483"/>
      <c r="DD101" s="483"/>
      <c r="DE101" s="483"/>
      <c r="DF101" s="484"/>
      <c r="DG101" s="483"/>
      <c r="DH101" s="483"/>
      <c r="DI101" s="483"/>
      <c r="DJ101" s="483"/>
      <c r="DK101" s="483"/>
      <c r="DL101" s="483"/>
      <c r="DM101" s="483"/>
      <c r="DN101" s="483"/>
      <c r="DO101" s="483"/>
      <c r="DP101" s="483"/>
      <c r="DQ101" s="483"/>
      <c r="DR101" s="483"/>
      <c r="DS101" s="483"/>
      <c r="DT101" s="483"/>
      <c r="DU101" s="483"/>
      <c r="DV101" s="483"/>
      <c r="DW101" s="483"/>
      <c r="DX101" s="483"/>
      <c r="DY101" s="483"/>
      <c r="DZ101" s="483"/>
      <c r="EA101" s="483"/>
      <c r="EB101" s="483"/>
      <c r="EC101" s="483"/>
      <c r="ED101" s="483"/>
      <c r="EE101" s="483"/>
      <c r="EF101" s="483"/>
      <c r="EG101" s="483"/>
      <c r="EH101" s="483"/>
      <c r="EI101" s="483"/>
      <c r="EJ101" s="483"/>
      <c r="EK101" s="483"/>
      <c r="EL101" s="483"/>
    </row>
    <row r="102" spans="1:142">
      <c r="A102" s="478"/>
      <c r="B102" s="479"/>
      <c r="C102" s="479"/>
      <c r="D102" s="478"/>
      <c r="E102" s="480"/>
      <c r="F102" s="478"/>
      <c r="G102" s="481"/>
      <c r="H102" s="481"/>
      <c r="I102" s="481"/>
      <c r="J102" s="481"/>
      <c r="K102" s="482"/>
      <c r="L102" s="482"/>
      <c r="M102" s="482"/>
      <c r="N102" s="482"/>
      <c r="O102" s="482"/>
      <c r="P102" s="482"/>
      <c r="Q102" s="482"/>
      <c r="R102" s="481"/>
      <c r="S102" s="481"/>
      <c r="T102" s="481"/>
      <c r="U102" s="481"/>
      <c r="V102" s="481"/>
      <c r="W102" s="481"/>
      <c r="X102" s="481"/>
      <c r="Y102" s="480"/>
      <c r="Z102" s="480"/>
      <c r="AA102" s="480"/>
      <c r="AB102" s="480"/>
      <c r="AC102" s="480"/>
      <c r="AD102" s="480"/>
      <c r="AE102" s="480"/>
      <c r="AF102" s="480"/>
      <c r="AG102" s="480"/>
      <c r="AH102" s="480"/>
      <c r="AI102" s="483"/>
      <c r="AJ102" s="483"/>
      <c r="AK102" s="483"/>
      <c r="AL102" s="483"/>
      <c r="AM102" s="483"/>
      <c r="AN102" s="483"/>
      <c r="AO102" s="483"/>
      <c r="AP102" s="483"/>
      <c r="AQ102" s="483"/>
      <c r="AR102" s="483"/>
      <c r="AS102" s="483"/>
      <c r="AT102" s="483"/>
      <c r="AU102" s="483"/>
      <c r="AV102" s="483"/>
      <c r="AW102" s="483"/>
      <c r="AX102" s="483"/>
      <c r="AY102" s="483"/>
      <c r="AZ102" s="483"/>
      <c r="BA102" s="483"/>
      <c r="BB102" s="483"/>
      <c r="BC102" s="483"/>
      <c r="BD102" s="483"/>
      <c r="BE102" s="483"/>
      <c r="BF102" s="483"/>
      <c r="BG102" s="483"/>
      <c r="BH102" s="483"/>
      <c r="BI102" s="483"/>
      <c r="BJ102" s="483"/>
      <c r="BK102" s="483"/>
      <c r="BL102" s="483"/>
      <c r="BM102" s="483"/>
      <c r="BN102" s="483"/>
      <c r="BO102" s="483"/>
      <c r="BP102" s="483"/>
      <c r="BQ102" s="483"/>
      <c r="BR102" s="483"/>
      <c r="BS102" s="483"/>
      <c r="BT102" s="483"/>
      <c r="BU102" s="483"/>
      <c r="BV102" s="483"/>
      <c r="BW102" s="483"/>
      <c r="BX102" s="483"/>
      <c r="BY102" s="483"/>
      <c r="BZ102" s="483"/>
      <c r="CA102" s="483"/>
      <c r="CB102" s="483"/>
      <c r="CC102" s="483"/>
      <c r="CD102" s="483"/>
      <c r="CE102" s="483"/>
      <c r="CF102" s="483"/>
      <c r="CG102" s="483"/>
      <c r="CH102" s="483"/>
      <c r="CI102" s="483"/>
      <c r="CJ102" s="483"/>
      <c r="CK102" s="483"/>
      <c r="CL102" s="483"/>
      <c r="CM102" s="483"/>
      <c r="CN102" s="483"/>
      <c r="CO102" s="483"/>
      <c r="CP102" s="483"/>
      <c r="CQ102" s="483"/>
      <c r="CR102" s="483"/>
      <c r="CS102" s="483"/>
      <c r="CT102" s="483"/>
      <c r="CU102" s="483"/>
      <c r="CV102" s="483"/>
      <c r="CW102" s="483"/>
      <c r="CX102" s="483"/>
      <c r="CY102" s="483"/>
      <c r="CZ102" s="483"/>
      <c r="DA102" s="483"/>
      <c r="DB102" s="483"/>
      <c r="DC102" s="483"/>
      <c r="DD102" s="483"/>
      <c r="DE102" s="483"/>
      <c r="DF102" s="484"/>
      <c r="DG102" s="483"/>
      <c r="DH102" s="483"/>
      <c r="DI102" s="483"/>
      <c r="DJ102" s="483"/>
      <c r="DK102" s="483"/>
      <c r="DL102" s="483"/>
      <c r="DM102" s="483"/>
      <c r="DN102" s="483"/>
      <c r="DO102" s="483"/>
      <c r="DP102" s="483"/>
      <c r="DQ102" s="483"/>
      <c r="DR102" s="483"/>
      <c r="DS102" s="483"/>
      <c r="DT102" s="483"/>
      <c r="DU102" s="483"/>
      <c r="DV102" s="483"/>
      <c r="DW102" s="483"/>
      <c r="DX102" s="483"/>
      <c r="DY102" s="483"/>
      <c r="DZ102" s="483"/>
      <c r="EA102" s="483"/>
      <c r="EB102" s="483"/>
      <c r="EC102" s="483"/>
      <c r="ED102" s="483"/>
      <c r="EE102" s="483"/>
      <c r="EF102" s="483"/>
      <c r="EG102" s="483"/>
      <c r="EH102" s="483"/>
      <c r="EI102" s="483"/>
      <c r="EJ102" s="483"/>
      <c r="EK102" s="483"/>
      <c r="EL102" s="483"/>
    </row>
    <row r="103" spans="1:142" ht="40.5" customHeight="1">
      <c r="A103" s="478"/>
      <c r="B103" s="479"/>
      <c r="C103" s="479"/>
      <c r="D103" s="478"/>
      <c r="E103" s="480"/>
      <c r="F103" s="478"/>
      <c r="G103" s="481"/>
      <c r="H103" s="481"/>
      <c r="I103" s="481"/>
      <c r="J103" s="481"/>
      <c r="K103" s="482">
        <v>42696</v>
      </c>
      <c r="L103" s="482"/>
      <c r="M103" s="482"/>
      <c r="N103" s="482"/>
      <c r="O103" s="482"/>
      <c r="P103" s="482"/>
      <c r="Q103" s="482"/>
      <c r="R103" s="481"/>
      <c r="S103" s="481"/>
      <c r="T103" s="481"/>
      <c r="U103" s="481"/>
      <c r="V103" s="481"/>
      <c r="W103" s="482">
        <v>12177</v>
      </c>
      <c r="X103" s="481"/>
      <c r="Y103" s="480"/>
      <c r="Z103" s="480"/>
      <c r="AA103" s="480"/>
      <c r="AB103" s="480"/>
      <c r="AC103" s="480"/>
      <c r="AD103" s="480"/>
      <c r="AE103" s="480"/>
      <c r="AF103" s="480"/>
      <c r="AG103" s="480"/>
      <c r="AH103" s="480"/>
      <c r="AI103" s="483"/>
      <c r="AJ103" s="483"/>
      <c r="AK103" s="483"/>
      <c r="AL103" s="483"/>
      <c r="AM103" s="483"/>
      <c r="AN103" s="483"/>
      <c r="AO103" s="483"/>
      <c r="AP103" s="483"/>
      <c r="AQ103" s="483"/>
      <c r="AR103" s="483"/>
      <c r="AS103" s="483"/>
      <c r="AT103" s="483"/>
      <c r="AU103" s="483"/>
      <c r="AV103" s="483"/>
      <c r="AW103" s="483"/>
      <c r="AX103" s="483"/>
      <c r="AY103" s="483"/>
      <c r="AZ103" s="483"/>
      <c r="BA103" s="483"/>
      <c r="BB103" s="483"/>
      <c r="BC103" s="483"/>
      <c r="BD103" s="483"/>
      <c r="BE103" s="483"/>
      <c r="BF103" s="483"/>
      <c r="BG103" s="483"/>
      <c r="BH103" s="483"/>
      <c r="BI103" s="483"/>
      <c r="BJ103" s="483"/>
      <c r="BK103" s="483"/>
      <c r="BL103" s="483"/>
      <c r="BM103" s="483"/>
      <c r="BN103" s="483"/>
      <c r="BO103" s="483"/>
      <c r="BP103" s="483"/>
      <c r="BQ103" s="483"/>
      <c r="BR103" s="483"/>
      <c r="BS103" s="483"/>
      <c r="BT103" s="483"/>
      <c r="BU103" s="483"/>
      <c r="BV103" s="483"/>
      <c r="BW103" s="483"/>
      <c r="BX103" s="483"/>
      <c r="BY103" s="483"/>
      <c r="BZ103" s="483"/>
      <c r="CA103" s="483"/>
      <c r="CB103" s="483"/>
      <c r="CC103" s="483"/>
      <c r="CD103" s="483"/>
      <c r="CE103" s="483"/>
      <c r="CF103" s="483"/>
      <c r="CG103" s="483"/>
      <c r="CH103" s="483"/>
      <c r="CI103" s="483"/>
      <c r="CJ103" s="483"/>
      <c r="CK103" s="483"/>
      <c r="CL103" s="483"/>
      <c r="CM103" s="483"/>
      <c r="CN103" s="483"/>
      <c r="CO103" s="483"/>
      <c r="CP103" s="483"/>
      <c r="CQ103" s="483"/>
      <c r="CR103" s="483"/>
      <c r="CS103" s="483"/>
      <c r="CT103" s="483"/>
      <c r="CU103" s="483"/>
      <c r="CV103" s="483"/>
      <c r="CW103" s="483"/>
      <c r="CX103" s="483"/>
      <c r="CY103" s="483"/>
      <c r="CZ103" s="483"/>
      <c r="DA103" s="483"/>
      <c r="DB103" s="483"/>
      <c r="DC103" s="483"/>
      <c r="DD103" s="483"/>
      <c r="DE103" s="483"/>
      <c r="DF103" s="484"/>
      <c r="DG103" s="483"/>
      <c r="DH103" s="483"/>
      <c r="DI103" s="483"/>
      <c r="DJ103" s="483"/>
      <c r="DK103" s="483"/>
      <c r="DL103" s="483"/>
      <c r="DM103" s="483"/>
      <c r="DN103" s="483"/>
      <c r="DO103" s="483"/>
      <c r="DP103" s="483"/>
      <c r="DQ103" s="483"/>
      <c r="DR103" s="483"/>
      <c r="DS103" s="483"/>
      <c r="DT103" s="483"/>
      <c r="DU103" s="483"/>
      <c r="DV103" s="483"/>
      <c r="DW103" s="483"/>
      <c r="DX103" s="483"/>
      <c r="DY103" s="483"/>
      <c r="DZ103" s="483"/>
      <c r="EA103" s="483"/>
      <c r="EB103" s="483"/>
      <c r="EC103" s="483"/>
      <c r="ED103" s="483"/>
      <c r="EE103" s="483"/>
      <c r="EF103" s="483"/>
      <c r="EG103" s="483"/>
      <c r="EH103" s="483"/>
      <c r="EI103" s="483"/>
      <c r="EJ103" s="483"/>
      <c r="EK103" s="483"/>
      <c r="EL103" s="483"/>
    </row>
    <row r="104" spans="1:142" ht="35.25" customHeight="1">
      <c r="A104" s="478"/>
      <c r="B104" s="479"/>
      <c r="C104" s="479"/>
      <c r="D104" s="478"/>
      <c r="E104" s="480"/>
      <c r="F104" s="478"/>
      <c r="G104" s="481"/>
      <c r="H104" s="481"/>
      <c r="I104" s="481"/>
      <c r="J104" s="481"/>
      <c r="K104" s="482">
        <f>K103-K100</f>
        <v>1361.7422053406262</v>
      </c>
      <c r="L104" s="482"/>
      <c r="M104" s="482"/>
      <c r="N104" s="482"/>
      <c r="O104" s="482"/>
      <c r="P104" s="482"/>
      <c r="Q104" s="482"/>
      <c r="R104" s="482"/>
      <c r="S104" s="482"/>
      <c r="T104" s="482"/>
      <c r="U104" s="482"/>
      <c r="V104" s="482"/>
      <c r="W104" s="482">
        <f>W103-W100</f>
        <v>-2756.505053316916</v>
      </c>
      <c r="X104" s="482"/>
      <c r="Y104" s="638"/>
      <c r="Z104" s="638"/>
      <c r="AA104" s="638"/>
      <c r="AB104" s="638"/>
      <c r="AC104" s="638"/>
      <c r="AD104" s="638"/>
      <c r="AE104" s="638"/>
      <c r="AF104" s="638"/>
      <c r="AG104" s="638"/>
      <c r="AH104" s="638"/>
      <c r="AI104" s="483"/>
      <c r="AJ104" s="483"/>
      <c r="AK104" s="483"/>
      <c r="AL104" s="483"/>
      <c r="AM104" s="483"/>
      <c r="AN104" s="483"/>
      <c r="AO104" s="483"/>
      <c r="AP104" s="483"/>
      <c r="AQ104" s="483"/>
      <c r="AR104" s="483"/>
      <c r="AS104" s="483"/>
      <c r="AT104" s="483"/>
      <c r="AU104" s="483"/>
      <c r="AV104" s="483"/>
      <c r="AW104" s="483"/>
      <c r="AX104" s="483"/>
      <c r="AY104" s="483"/>
      <c r="AZ104" s="483"/>
      <c r="BA104" s="483"/>
      <c r="BB104" s="483"/>
      <c r="BC104" s="483"/>
      <c r="BD104" s="483"/>
      <c r="BE104" s="483"/>
      <c r="BF104" s="483"/>
      <c r="BG104" s="483"/>
      <c r="BH104" s="483"/>
      <c r="BI104" s="483"/>
      <c r="BJ104" s="483"/>
      <c r="BK104" s="483"/>
      <c r="BL104" s="483"/>
      <c r="BM104" s="483"/>
      <c r="BN104" s="483"/>
      <c r="BO104" s="483"/>
      <c r="BP104" s="483"/>
      <c r="BQ104" s="483"/>
      <c r="BR104" s="483"/>
      <c r="BS104" s="483"/>
      <c r="BT104" s="483"/>
      <c r="BU104" s="483"/>
      <c r="BV104" s="483"/>
      <c r="BW104" s="483"/>
      <c r="BX104" s="483"/>
      <c r="BY104" s="483"/>
      <c r="BZ104" s="483"/>
      <c r="CA104" s="483"/>
      <c r="CB104" s="483"/>
      <c r="CC104" s="483"/>
      <c r="CD104" s="483"/>
      <c r="CE104" s="483"/>
      <c r="CF104" s="483"/>
      <c r="CG104" s="483"/>
      <c r="CH104" s="483"/>
      <c r="CI104" s="483"/>
      <c r="CJ104" s="483"/>
      <c r="CK104" s="483"/>
      <c r="CL104" s="483"/>
      <c r="CM104" s="483"/>
      <c r="CN104" s="483"/>
      <c r="CO104" s="483"/>
      <c r="CP104" s="483"/>
      <c r="CQ104" s="483"/>
      <c r="CR104" s="483"/>
      <c r="CS104" s="483"/>
      <c r="CT104" s="483"/>
      <c r="CU104" s="483"/>
      <c r="CV104" s="483"/>
      <c r="CW104" s="483"/>
      <c r="CX104" s="483"/>
      <c r="CY104" s="483"/>
      <c r="CZ104" s="483"/>
      <c r="DA104" s="483"/>
      <c r="DB104" s="483"/>
      <c r="DC104" s="483"/>
      <c r="DD104" s="483"/>
      <c r="DE104" s="483"/>
      <c r="DF104" s="484"/>
      <c r="DG104" s="483"/>
      <c r="DH104" s="483"/>
      <c r="DI104" s="483"/>
      <c r="DJ104" s="483"/>
      <c r="DK104" s="483"/>
      <c r="DL104" s="483"/>
      <c r="DM104" s="483"/>
      <c r="DN104" s="483"/>
      <c r="DO104" s="483"/>
      <c r="DP104" s="483"/>
      <c r="DQ104" s="483"/>
      <c r="DR104" s="483"/>
      <c r="DS104" s="483"/>
      <c r="DT104" s="483"/>
      <c r="DU104" s="483"/>
      <c r="DV104" s="483"/>
      <c r="DW104" s="483"/>
      <c r="DX104" s="483"/>
      <c r="DY104" s="483"/>
      <c r="DZ104" s="483"/>
      <c r="EA104" s="483"/>
      <c r="EB104" s="483"/>
      <c r="EC104" s="483"/>
      <c r="ED104" s="483"/>
      <c r="EE104" s="483"/>
      <c r="EF104" s="483"/>
      <c r="EG104" s="483"/>
      <c r="EH104" s="483"/>
      <c r="EI104" s="483"/>
      <c r="EJ104" s="483"/>
      <c r="EK104" s="483"/>
      <c r="EL104" s="483"/>
    </row>
    <row r="105" spans="1:142">
      <c r="A105" s="478"/>
      <c r="B105" s="479"/>
      <c r="C105" s="479"/>
      <c r="D105" s="478"/>
      <c r="E105" s="480"/>
      <c r="F105" s="478"/>
      <c r="G105" s="481"/>
      <c r="H105" s="481"/>
      <c r="I105" s="481"/>
      <c r="J105" s="481"/>
      <c r="K105" s="482"/>
      <c r="L105" s="482"/>
      <c r="M105" s="482"/>
      <c r="N105" s="482"/>
      <c r="O105" s="482"/>
      <c r="P105" s="482"/>
      <c r="Q105" s="482"/>
      <c r="R105" s="481"/>
      <c r="S105" s="481"/>
      <c r="T105" s="481"/>
      <c r="U105" s="481"/>
      <c r="V105" s="481"/>
      <c r="W105" s="481"/>
      <c r="X105" s="481"/>
      <c r="Y105" s="480"/>
      <c r="Z105" s="480"/>
      <c r="AA105" s="480"/>
      <c r="AB105" s="480"/>
      <c r="AC105" s="480"/>
      <c r="AD105" s="480"/>
      <c r="AE105" s="480"/>
      <c r="AF105" s="480"/>
      <c r="AG105" s="480"/>
      <c r="AH105" s="480"/>
      <c r="AI105" s="483"/>
      <c r="AJ105" s="483"/>
      <c r="AK105" s="483"/>
      <c r="AL105" s="483"/>
      <c r="AM105" s="483"/>
      <c r="AN105" s="483"/>
      <c r="AO105" s="483"/>
      <c r="AP105" s="483"/>
      <c r="AQ105" s="483"/>
      <c r="AR105" s="483"/>
      <c r="AS105" s="483"/>
      <c r="AT105" s="483"/>
      <c r="AU105" s="483"/>
      <c r="AV105" s="483"/>
      <c r="AW105" s="483"/>
      <c r="AX105" s="483"/>
      <c r="AY105" s="483"/>
      <c r="AZ105" s="483"/>
      <c r="BA105" s="483"/>
      <c r="BB105" s="483"/>
      <c r="BC105" s="483"/>
      <c r="BD105" s="483"/>
      <c r="BE105" s="483"/>
      <c r="BF105" s="483"/>
      <c r="BG105" s="483"/>
      <c r="BH105" s="483"/>
      <c r="BI105" s="483"/>
      <c r="BJ105" s="483"/>
      <c r="BK105" s="483"/>
      <c r="BL105" s="483"/>
      <c r="BM105" s="483"/>
      <c r="BN105" s="483"/>
      <c r="BO105" s="483"/>
      <c r="BP105" s="483"/>
      <c r="BQ105" s="483"/>
      <c r="BR105" s="483"/>
      <c r="BS105" s="483"/>
      <c r="BT105" s="483"/>
      <c r="BU105" s="483"/>
      <c r="BV105" s="483"/>
      <c r="BW105" s="483"/>
      <c r="BX105" s="483"/>
      <c r="BY105" s="483"/>
      <c r="BZ105" s="483"/>
      <c r="CA105" s="483"/>
      <c r="CB105" s="483"/>
      <c r="CC105" s="483"/>
      <c r="CD105" s="483"/>
      <c r="CE105" s="483"/>
      <c r="CF105" s="483"/>
      <c r="CG105" s="483"/>
      <c r="CH105" s="483"/>
      <c r="CI105" s="483"/>
      <c r="CJ105" s="483"/>
      <c r="CK105" s="483"/>
      <c r="CL105" s="483"/>
      <c r="CM105" s="483"/>
      <c r="CN105" s="483"/>
      <c r="CO105" s="483"/>
      <c r="CP105" s="483"/>
      <c r="CQ105" s="483"/>
      <c r="CR105" s="483"/>
      <c r="CS105" s="483"/>
      <c r="CT105" s="483"/>
      <c r="CU105" s="483"/>
      <c r="CV105" s="483"/>
      <c r="CW105" s="483"/>
      <c r="CX105" s="483"/>
      <c r="CY105" s="483"/>
      <c r="CZ105" s="483"/>
      <c r="DA105" s="483"/>
      <c r="DB105" s="483"/>
      <c r="DC105" s="483"/>
      <c r="DD105" s="483"/>
      <c r="DE105" s="483"/>
      <c r="DF105" s="484"/>
      <c r="DG105" s="483"/>
      <c r="DH105" s="483"/>
      <c r="DI105" s="483"/>
      <c r="DJ105" s="483"/>
      <c r="DK105" s="483"/>
      <c r="DL105" s="483"/>
      <c r="DM105" s="483"/>
      <c r="DN105" s="483"/>
      <c r="DO105" s="483"/>
      <c r="DP105" s="483"/>
      <c r="DQ105" s="483"/>
      <c r="DR105" s="483"/>
      <c r="DS105" s="483"/>
      <c r="DT105" s="483"/>
      <c r="DU105" s="483"/>
      <c r="DV105" s="483"/>
      <c r="DW105" s="483"/>
      <c r="DX105" s="483"/>
      <c r="DY105" s="483"/>
      <c r="DZ105" s="483"/>
      <c r="EA105" s="483"/>
      <c r="EB105" s="483"/>
      <c r="EC105" s="483"/>
      <c r="ED105" s="483"/>
      <c r="EE105" s="483"/>
      <c r="EF105" s="483"/>
      <c r="EG105" s="483"/>
      <c r="EH105" s="483"/>
      <c r="EI105" s="483"/>
      <c r="EJ105" s="483"/>
      <c r="EK105" s="483"/>
      <c r="EL105" s="483"/>
    </row>
    <row r="106" spans="1:142">
      <c r="A106" s="478"/>
      <c r="B106" s="479"/>
      <c r="C106" s="479"/>
      <c r="D106" s="478"/>
      <c r="E106" s="480"/>
      <c r="F106" s="478"/>
      <c r="G106" s="481"/>
      <c r="H106" s="481"/>
      <c r="I106" s="481"/>
      <c r="J106" s="481"/>
      <c r="K106" s="482"/>
      <c r="L106" s="482"/>
      <c r="M106" s="482"/>
      <c r="N106" s="482"/>
      <c r="O106" s="482"/>
      <c r="P106" s="482"/>
      <c r="Q106" s="482"/>
      <c r="R106" s="482"/>
      <c r="S106" s="482"/>
      <c r="T106" s="482"/>
      <c r="U106" s="482"/>
      <c r="V106" s="482"/>
      <c r="W106" s="482"/>
      <c r="X106" s="482"/>
      <c r="Y106" s="478"/>
      <c r="Z106" s="478"/>
      <c r="AA106" s="478"/>
      <c r="AB106" s="478"/>
      <c r="AC106" s="478"/>
      <c r="AD106" s="478"/>
      <c r="AE106" s="478"/>
      <c r="AF106" s="478"/>
      <c r="AG106" s="478"/>
      <c r="AH106" s="478"/>
      <c r="AI106" s="483"/>
      <c r="AJ106" s="483"/>
      <c r="AK106" s="483"/>
      <c r="AL106" s="483"/>
      <c r="AM106" s="483"/>
      <c r="AN106" s="483"/>
      <c r="AO106" s="483"/>
      <c r="AP106" s="483"/>
      <c r="AQ106" s="483"/>
      <c r="AR106" s="483"/>
      <c r="AS106" s="483"/>
      <c r="AT106" s="483"/>
      <c r="AU106" s="483"/>
      <c r="AV106" s="483"/>
      <c r="AW106" s="483"/>
      <c r="AX106" s="483"/>
      <c r="AY106" s="483"/>
      <c r="AZ106" s="483"/>
      <c r="BA106" s="483"/>
      <c r="BB106" s="483"/>
      <c r="BC106" s="483"/>
      <c r="BD106" s="483"/>
      <c r="BE106" s="483"/>
      <c r="BF106" s="483"/>
      <c r="BG106" s="483"/>
      <c r="BH106" s="483"/>
      <c r="BI106" s="483"/>
      <c r="BJ106" s="483"/>
      <c r="BK106" s="483"/>
      <c r="BL106" s="483"/>
      <c r="BM106" s="483"/>
      <c r="BN106" s="483"/>
      <c r="BO106" s="483"/>
      <c r="BP106" s="483"/>
      <c r="BQ106" s="483"/>
      <c r="BR106" s="483"/>
      <c r="BS106" s="483"/>
      <c r="BT106" s="483"/>
      <c r="BU106" s="483"/>
      <c r="BV106" s="483"/>
      <c r="BW106" s="483"/>
      <c r="BX106" s="483"/>
      <c r="BY106" s="483"/>
      <c r="BZ106" s="483"/>
      <c r="CA106" s="483"/>
      <c r="CB106" s="483"/>
      <c r="CC106" s="483"/>
      <c r="CD106" s="483"/>
      <c r="CE106" s="483"/>
      <c r="CF106" s="483"/>
      <c r="CG106" s="483"/>
      <c r="CH106" s="483"/>
      <c r="CI106" s="483"/>
      <c r="CJ106" s="483"/>
      <c r="CK106" s="483"/>
      <c r="CL106" s="483"/>
      <c r="CM106" s="483"/>
      <c r="CN106" s="483"/>
      <c r="CO106" s="483"/>
      <c r="CP106" s="483"/>
      <c r="CQ106" s="483"/>
      <c r="CR106" s="483"/>
      <c r="CS106" s="483"/>
      <c r="CT106" s="483"/>
      <c r="CU106" s="483"/>
      <c r="CV106" s="483"/>
      <c r="CW106" s="483"/>
      <c r="CX106" s="483"/>
      <c r="CY106" s="483"/>
      <c r="CZ106" s="483"/>
      <c r="DA106" s="483"/>
      <c r="DB106" s="483"/>
      <c r="DC106" s="483"/>
      <c r="DD106" s="483"/>
      <c r="DE106" s="483"/>
      <c r="DF106" s="484"/>
      <c r="DG106" s="483"/>
      <c r="DH106" s="483"/>
      <c r="DI106" s="483"/>
      <c r="DJ106" s="483"/>
      <c r="DK106" s="483"/>
      <c r="DL106" s="483"/>
      <c r="DM106" s="483"/>
      <c r="DN106" s="483"/>
      <c r="DO106" s="483"/>
      <c r="DP106" s="483"/>
      <c r="DQ106" s="483"/>
      <c r="DR106" s="483"/>
      <c r="DS106" s="483"/>
      <c r="DT106" s="483"/>
      <c r="DU106" s="483"/>
      <c r="DV106" s="483"/>
      <c r="DW106" s="483"/>
      <c r="DX106" s="483"/>
      <c r="DY106" s="483"/>
      <c r="DZ106" s="483"/>
      <c r="EA106" s="483"/>
      <c r="EB106" s="483"/>
      <c r="EC106" s="483"/>
      <c r="ED106" s="483"/>
      <c r="EE106" s="483"/>
      <c r="EF106" s="483"/>
      <c r="EG106" s="483"/>
      <c r="EH106" s="483"/>
      <c r="EI106" s="483"/>
      <c r="EJ106" s="483"/>
      <c r="EK106" s="483"/>
      <c r="EL106" s="483"/>
    </row>
    <row r="248" spans="4:4">
      <c r="D248" s="530"/>
    </row>
  </sheetData>
  <mergeCells count="192">
    <mergeCell ref="B76:B83"/>
    <mergeCell ref="B47:B65"/>
    <mergeCell ref="B23:B24"/>
    <mergeCell ref="A9:A18"/>
    <mergeCell ref="G9:G20"/>
    <mergeCell ref="B9:B20"/>
    <mergeCell ref="C9:C20"/>
    <mergeCell ref="G5:W5"/>
    <mergeCell ref="A4:AH4"/>
    <mergeCell ref="D5:D7"/>
    <mergeCell ref="E5:E7"/>
    <mergeCell ref="B5:B7"/>
    <mergeCell ref="E30:E34"/>
    <mergeCell ref="D30:D35"/>
    <mergeCell ref="C5:C7"/>
    <mergeCell ref="A5:A7"/>
    <mergeCell ref="F5:F7"/>
    <mergeCell ref="ED5:EG5"/>
    <mergeCell ref="EH5:EK5"/>
    <mergeCell ref="EL5:EL7"/>
    <mergeCell ref="ED6:ED7"/>
    <mergeCell ref="EE6:EE7"/>
    <mergeCell ref="EF6:EF7"/>
    <mergeCell ref="EG6:EG7"/>
    <mergeCell ref="EH6:EH7"/>
    <mergeCell ref="EI6:EI7"/>
    <mergeCell ref="EJ6:EJ7"/>
    <mergeCell ref="EK6:EK7"/>
    <mergeCell ref="DU5:DX5"/>
    <mergeCell ref="DY5:EB5"/>
    <mergeCell ref="EC5:EC7"/>
    <mergeCell ref="DU6:DU7"/>
    <mergeCell ref="DV6:DV7"/>
    <mergeCell ref="DW6:DW7"/>
    <mergeCell ref="DX6:DX7"/>
    <mergeCell ref="DY6:DY7"/>
    <mergeCell ref="DZ6:DZ7"/>
    <mergeCell ref="EA6:EA7"/>
    <mergeCell ref="EB6:EB7"/>
    <mergeCell ref="DL5:DO5"/>
    <mergeCell ref="DP5:DS5"/>
    <mergeCell ref="DT5:DT7"/>
    <mergeCell ref="DL6:DL7"/>
    <mergeCell ref="DM6:DM7"/>
    <mergeCell ref="DN6:DN7"/>
    <mergeCell ref="DO6:DO7"/>
    <mergeCell ref="DP6:DP7"/>
    <mergeCell ref="DQ6:DQ7"/>
    <mergeCell ref="DR6:DR7"/>
    <mergeCell ref="DS6:DS7"/>
    <mergeCell ref="DC5:DF5"/>
    <mergeCell ref="DG5:DJ5"/>
    <mergeCell ref="DK5:DK7"/>
    <mergeCell ref="DC6:DC7"/>
    <mergeCell ref="DD6:DD7"/>
    <mergeCell ref="DE6:DE7"/>
    <mergeCell ref="DF6:DF7"/>
    <mergeCell ref="DG6:DG7"/>
    <mergeCell ref="DH6:DH7"/>
    <mergeCell ref="DI6:DI7"/>
    <mergeCell ref="DJ6:DJ7"/>
    <mergeCell ref="CT5:CW5"/>
    <mergeCell ref="CX5:DA5"/>
    <mergeCell ref="DB5:DB7"/>
    <mergeCell ref="CT6:CT7"/>
    <mergeCell ref="CU6:CU7"/>
    <mergeCell ref="CV6:CV7"/>
    <mergeCell ref="CW6:CW7"/>
    <mergeCell ref="CX6:CX7"/>
    <mergeCell ref="CY6:CY7"/>
    <mergeCell ref="CZ6:CZ7"/>
    <mergeCell ref="DA6:DA7"/>
    <mergeCell ref="CB4:CJ4"/>
    <mergeCell ref="CK5:CN5"/>
    <mergeCell ref="CO5:CR5"/>
    <mergeCell ref="CS5:CS7"/>
    <mergeCell ref="CK6:CK7"/>
    <mergeCell ref="CL6:CL7"/>
    <mergeCell ref="CM6:CM7"/>
    <mergeCell ref="CN6:CN7"/>
    <mergeCell ref="CO6:CO7"/>
    <mergeCell ref="CP6:CP7"/>
    <mergeCell ref="CQ6:CQ7"/>
    <mergeCell ref="CR6:CR7"/>
    <mergeCell ref="CK4:CS4"/>
    <mergeCell ref="CB5:CE5"/>
    <mergeCell ref="CF5:CI5"/>
    <mergeCell ref="CJ5:CJ7"/>
    <mergeCell ref="CB6:CB7"/>
    <mergeCell ref="CC6:CC7"/>
    <mergeCell ref="CD6:CD7"/>
    <mergeCell ref="CE6:CE7"/>
    <mergeCell ref="CF6:CF7"/>
    <mergeCell ref="CG6:CG7"/>
    <mergeCell ref="CH6:CH7"/>
    <mergeCell ref="CI6:CI7"/>
    <mergeCell ref="BS5:BV5"/>
    <mergeCell ref="BW5:BZ5"/>
    <mergeCell ref="CA5:CA7"/>
    <mergeCell ref="BS6:BS7"/>
    <mergeCell ref="BT6:BT7"/>
    <mergeCell ref="BU6:BU7"/>
    <mergeCell ref="BV6:BV7"/>
    <mergeCell ref="BW6:BW7"/>
    <mergeCell ref="BX6:BX7"/>
    <mergeCell ref="BY6:BY7"/>
    <mergeCell ref="BZ6:BZ7"/>
    <mergeCell ref="BJ5:BM5"/>
    <mergeCell ref="BN5:BQ5"/>
    <mergeCell ref="BR5:BR7"/>
    <mergeCell ref="BJ6:BJ7"/>
    <mergeCell ref="BK6:BK7"/>
    <mergeCell ref="BL6:BL7"/>
    <mergeCell ref="BM6:BM7"/>
    <mergeCell ref="BN6:BN7"/>
    <mergeCell ref="BO6:BO7"/>
    <mergeCell ref="BP6:BP7"/>
    <mergeCell ref="BQ6:BQ7"/>
    <mergeCell ref="BA5:BD5"/>
    <mergeCell ref="BE5:BH5"/>
    <mergeCell ref="BI5:BI7"/>
    <mergeCell ref="BA6:BA7"/>
    <mergeCell ref="BB6:BB7"/>
    <mergeCell ref="BC6:BC7"/>
    <mergeCell ref="BD6:BD7"/>
    <mergeCell ref="BE6:BE7"/>
    <mergeCell ref="BF6:BF7"/>
    <mergeCell ref="BG6:BG7"/>
    <mergeCell ref="BH6:BH7"/>
    <mergeCell ref="AN6:AN7"/>
    <mergeCell ref="AO6:AO7"/>
    <mergeCell ref="AP6:AP7"/>
    <mergeCell ref="AQ5:AQ7"/>
    <mergeCell ref="AR5:AU5"/>
    <mergeCell ref="AV5:AY5"/>
    <mergeCell ref="AZ5:AZ7"/>
    <mergeCell ref="AR6:AR7"/>
    <mergeCell ref="AS6:AS7"/>
    <mergeCell ref="AT6:AT7"/>
    <mergeCell ref="AU6:AU7"/>
    <mergeCell ref="AV6:AV7"/>
    <mergeCell ref="AW6:AW7"/>
    <mergeCell ref="AX6:AX7"/>
    <mergeCell ref="AY6:AY7"/>
    <mergeCell ref="A100:F100"/>
    <mergeCell ref="B25:B26"/>
    <mergeCell ref="B66:B73"/>
    <mergeCell ref="B91:B94"/>
    <mergeCell ref="AI4:AQ4"/>
    <mergeCell ref="AI5:AL5"/>
    <mergeCell ref="AM5:AP5"/>
    <mergeCell ref="AR4:AZ4"/>
    <mergeCell ref="BA4:BI4"/>
    <mergeCell ref="B38:B43"/>
    <mergeCell ref="K6:P6"/>
    <mergeCell ref="Q6:V6"/>
    <mergeCell ref="B30:B34"/>
    <mergeCell ref="G6:G7"/>
    <mergeCell ref="W6:W7"/>
    <mergeCell ref="X6:X7"/>
    <mergeCell ref="Y6:Y7"/>
    <mergeCell ref="Z6:Z7"/>
    <mergeCell ref="AA6:AA7"/>
    <mergeCell ref="AB6:AB7"/>
    <mergeCell ref="AC6:AC7"/>
    <mergeCell ref="AD6:AD7"/>
    <mergeCell ref="AE6:AE7"/>
    <mergeCell ref="AF6:AF7"/>
    <mergeCell ref="A74:F74"/>
    <mergeCell ref="A96:E96"/>
    <mergeCell ref="BS4:CA4"/>
    <mergeCell ref="DC4:DK4"/>
    <mergeCell ref="DL4:DT4"/>
    <mergeCell ref="DU4:EC4"/>
    <mergeCell ref="ED4:EL4"/>
    <mergeCell ref="A36:F36"/>
    <mergeCell ref="A28:F28"/>
    <mergeCell ref="A21:F21"/>
    <mergeCell ref="CT4:DB4"/>
    <mergeCell ref="AE5:AH5"/>
    <mergeCell ref="X5:AD5"/>
    <mergeCell ref="A45:F45"/>
    <mergeCell ref="B84:B87"/>
    <mergeCell ref="A89:F89"/>
    <mergeCell ref="BJ4:BR4"/>
    <mergeCell ref="AG6:AG7"/>
    <mergeCell ref="AH6:AH7"/>
    <mergeCell ref="AI6:AI7"/>
    <mergeCell ref="AJ6:AJ7"/>
    <mergeCell ref="AK6:AK7"/>
    <mergeCell ref="AL6:AL7"/>
    <mergeCell ref="AM6:AM7"/>
  </mergeCells>
  <phoneticPr fontId="15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管理能力提升目标（陶淇晟）"/>
  <dimension ref="A1:AV9"/>
  <sheetViews>
    <sheetView workbookViewId="0">
      <pane xSplit="6" ySplit="2" topLeftCell="G3" activePane="bottomRight" state="frozen"/>
      <selection pane="topRight"/>
      <selection pane="bottomLeft"/>
      <selection pane="bottomRight" activeCell="G3" sqref="G3"/>
    </sheetView>
  </sheetViews>
  <sheetFormatPr defaultRowHeight="14.25"/>
  <cols>
    <col min="1" max="1" width="7" style="773" customWidth="1"/>
    <col min="2" max="2" width="20.125" customWidth="1"/>
    <col min="3" max="3" width="19.75" style="337" customWidth="1"/>
    <col min="4" max="4" width="27.5" customWidth="1"/>
    <col min="5" max="5" width="53.625" customWidth="1"/>
    <col min="6" max="6" width="9.625" customWidth="1"/>
    <col min="7" max="7" width="16.375" customWidth="1"/>
    <col min="8" max="8" width="10.125" customWidth="1"/>
    <col min="9" max="9" width="19.25" customWidth="1"/>
    <col min="10" max="10" width="15.125" customWidth="1"/>
    <col min="11" max="11" width="14.375" customWidth="1"/>
    <col min="12" max="12" width="19.875" customWidth="1"/>
    <col min="13" max="13" width="13.5" customWidth="1"/>
    <col min="14" max="14" width="13.875" customWidth="1"/>
    <col min="15" max="15" width="29.125" customWidth="1"/>
    <col min="16" max="16" width="40.875" customWidth="1"/>
    <col min="17" max="17" width="8.875" customWidth="1"/>
    <col min="18" max="18" width="13.5" style="337" customWidth="1"/>
    <col min="19" max="19" width="35.625" customWidth="1"/>
    <col min="20" max="20" width="45" customWidth="1"/>
    <col min="21" max="21" width="16.625" customWidth="1"/>
    <col min="22" max="22" width="20.625" customWidth="1"/>
    <col min="23" max="23" width="34.375" customWidth="1"/>
    <col min="24" max="24" width="32" customWidth="1"/>
    <col min="25" max="25" width="16.875" customWidth="1"/>
    <col min="26" max="26" width="21.625" customWidth="1"/>
    <col min="27" max="27" width="16.875" customWidth="1"/>
    <col min="28" max="28" width="36.625" customWidth="1"/>
    <col min="29" max="30" width="16.875" customWidth="1"/>
    <col min="31" max="31" width="28.125" customWidth="1"/>
    <col min="32" max="48" width="16.875" customWidth="1"/>
  </cols>
  <sheetData>
    <row r="1" spans="1:48" ht="21.75" customHeight="1">
      <c r="A1" s="826" t="s">
        <v>1030</v>
      </c>
      <c r="B1" s="827"/>
      <c r="C1" s="828"/>
      <c r="D1" s="828"/>
      <c r="E1" s="828"/>
      <c r="F1" s="828"/>
      <c r="G1" s="890"/>
      <c r="H1" s="640"/>
      <c r="I1" s="813">
        <v>45658</v>
      </c>
      <c r="J1" s="807"/>
      <c r="K1" s="807"/>
      <c r="L1" s="813">
        <v>45689</v>
      </c>
      <c r="M1" s="807"/>
      <c r="N1" s="807"/>
      <c r="O1" s="813">
        <v>45717</v>
      </c>
      <c r="P1" s="807"/>
      <c r="Q1" s="807"/>
      <c r="R1" s="641"/>
      <c r="S1" s="813">
        <v>45748</v>
      </c>
      <c r="T1" s="807"/>
      <c r="U1" s="807"/>
      <c r="V1" s="384"/>
      <c r="W1" s="813">
        <v>45778</v>
      </c>
      <c r="X1" s="807"/>
      <c r="Y1" s="807"/>
      <c r="Z1" s="384"/>
      <c r="AA1" s="384"/>
      <c r="AB1" s="813">
        <v>45809</v>
      </c>
      <c r="AC1" s="807"/>
      <c r="AD1" s="807"/>
      <c r="AE1" s="813">
        <v>45839</v>
      </c>
      <c r="AF1" s="807"/>
      <c r="AG1" s="807"/>
      <c r="AH1" s="813">
        <v>45870</v>
      </c>
      <c r="AI1" s="807"/>
      <c r="AJ1" s="807"/>
      <c r="AK1" s="813">
        <v>45901</v>
      </c>
      <c r="AL1" s="807"/>
      <c r="AM1" s="807"/>
      <c r="AN1" s="813">
        <v>45931</v>
      </c>
      <c r="AO1" s="807"/>
      <c r="AP1" s="807"/>
      <c r="AQ1" s="813">
        <v>45962</v>
      </c>
      <c r="AR1" s="807"/>
      <c r="AS1" s="807"/>
      <c r="AT1" s="813">
        <v>45992</v>
      </c>
      <c r="AU1" s="807"/>
      <c r="AV1" s="807"/>
    </row>
    <row r="2" spans="1:48" ht="29.25" customHeight="1">
      <c r="A2" s="642" t="s">
        <v>0</v>
      </c>
      <c r="B2" s="643" t="s">
        <v>1577</v>
      </c>
      <c r="C2" s="382" t="s">
        <v>2</v>
      </c>
      <c r="D2" s="644" t="s">
        <v>3</v>
      </c>
      <c r="E2" s="382" t="s">
        <v>4</v>
      </c>
      <c r="F2" s="644" t="s">
        <v>5</v>
      </c>
      <c r="G2" s="12" t="s">
        <v>7</v>
      </c>
      <c r="H2" s="12" t="s">
        <v>8</v>
      </c>
      <c r="I2" s="13" t="s">
        <v>746</v>
      </c>
      <c r="J2" s="13" t="s">
        <v>747</v>
      </c>
      <c r="K2" s="13" t="s">
        <v>748</v>
      </c>
      <c r="L2" s="13" t="s">
        <v>746</v>
      </c>
      <c r="M2" s="13" t="s">
        <v>747</v>
      </c>
      <c r="N2" s="13" t="s">
        <v>748</v>
      </c>
      <c r="O2" s="13" t="s">
        <v>746</v>
      </c>
      <c r="P2" s="13" t="s">
        <v>747</v>
      </c>
      <c r="Q2" s="13" t="s">
        <v>748</v>
      </c>
      <c r="R2" s="14" t="s">
        <v>749</v>
      </c>
      <c r="S2" s="13" t="s">
        <v>746</v>
      </c>
      <c r="T2" s="13" t="s">
        <v>747</v>
      </c>
      <c r="U2" s="13" t="s">
        <v>748</v>
      </c>
      <c r="V2" s="13" t="s">
        <v>749</v>
      </c>
      <c r="W2" s="13" t="s">
        <v>746</v>
      </c>
      <c r="X2" s="13"/>
      <c r="Y2" s="13" t="s">
        <v>1031</v>
      </c>
      <c r="Z2" s="13" t="s">
        <v>749</v>
      </c>
      <c r="AA2" s="13" t="s">
        <v>1032</v>
      </c>
      <c r="AB2" s="13" t="s">
        <v>746</v>
      </c>
      <c r="AC2" s="13" t="s">
        <v>747</v>
      </c>
      <c r="AD2" s="13" t="s">
        <v>748</v>
      </c>
      <c r="AE2" s="13" t="s">
        <v>746</v>
      </c>
      <c r="AF2" s="13" t="s">
        <v>747</v>
      </c>
      <c r="AG2" s="13" t="s">
        <v>748</v>
      </c>
      <c r="AH2" s="13" t="s">
        <v>746</v>
      </c>
      <c r="AI2" s="13" t="s">
        <v>747</v>
      </c>
      <c r="AJ2" s="13" t="s">
        <v>748</v>
      </c>
      <c r="AK2" s="13" t="s">
        <v>746</v>
      </c>
      <c r="AL2" s="13" t="s">
        <v>747</v>
      </c>
      <c r="AM2" s="13" t="s">
        <v>748</v>
      </c>
      <c r="AN2" s="13" t="s">
        <v>746</v>
      </c>
      <c r="AO2" s="13" t="s">
        <v>747</v>
      </c>
      <c r="AP2" s="13" t="s">
        <v>748</v>
      </c>
      <c r="AQ2" s="13" t="s">
        <v>746</v>
      </c>
      <c r="AR2" s="13" t="s">
        <v>747</v>
      </c>
      <c r="AS2" s="13" t="s">
        <v>748</v>
      </c>
      <c r="AT2" s="13" t="s">
        <v>746</v>
      </c>
      <c r="AU2" s="13" t="s">
        <v>747</v>
      </c>
      <c r="AV2" s="13" t="s">
        <v>748</v>
      </c>
    </row>
    <row r="3" spans="1:48" s="137" customFormat="1">
      <c r="A3" s="645" t="s">
        <v>1033</v>
      </c>
      <c r="B3" s="646"/>
      <c r="C3" s="647" t="s">
        <v>926</v>
      </c>
      <c r="D3" s="646"/>
      <c r="E3" s="646"/>
      <c r="F3" s="648" t="s">
        <v>1694</v>
      </c>
      <c r="G3" s="649"/>
      <c r="H3" s="649"/>
      <c r="I3" s="649"/>
      <c r="J3" s="649"/>
      <c r="K3" s="649"/>
      <c r="L3" s="649"/>
      <c r="M3" s="649"/>
      <c r="N3" s="649"/>
      <c r="O3" s="649"/>
      <c r="P3" s="649"/>
      <c r="Q3" s="649"/>
      <c r="R3" s="650"/>
      <c r="S3" s="649"/>
      <c r="T3" s="649"/>
      <c r="U3" s="649"/>
      <c r="V3" s="649"/>
      <c r="W3" s="649"/>
      <c r="X3" s="649"/>
      <c r="Y3" s="649"/>
      <c r="Z3" s="649"/>
      <c r="AA3" s="649"/>
      <c r="AB3" s="649"/>
      <c r="AC3" s="649"/>
      <c r="AD3" s="649"/>
      <c r="AE3" s="649"/>
      <c r="AF3" s="649"/>
      <c r="AG3" s="649"/>
      <c r="AH3" s="649"/>
      <c r="AI3" s="649"/>
      <c r="AJ3" s="649"/>
      <c r="AK3" s="649"/>
      <c r="AL3" s="649"/>
      <c r="AM3" s="649"/>
      <c r="AN3" s="649"/>
      <c r="AO3" s="649"/>
      <c r="AP3" s="649"/>
      <c r="AQ3" s="649"/>
      <c r="AR3" s="649"/>
      <c r="AS3" s="649"/>
      <c r="AT3" s="649"/>
      <c r="AU3" s="649"/>
      <c r="AV3" s="649"/>
    </row>
    <row r="4" spans="1:48" s="137" customFormat="1">
      <c r="A4" s="651" t="s">
        <v>1034</v>
      </c>
      <c r="B4" s="401"/>
      <c r="C4" s="402" t="s">
        <v>1035</v>
      </c>
      <c r="D4" s="56"/>
      <c r="E4" s="652"/>
      <c r="F4" s="56" t="s">
        <v>318</v>
      </c>
      <c r="G4" s="36"/>
      <c r="H4" s="36"/>
      <c r="R4" s="156"/>
    </row>
    <row r="5" spans="1:48" s="137" customFormat="1">
      <c r="A5" s="651" t="s">
        <v>1036</v>
      </c>
      <c r="B5" s="401"/>
      <c r="C5" s="402" t="s">
        <v>1037</v>
      </c>
      <c r="D5" s="56"/>
      <c r="E5" s="56"/>
      <c r="F5" s="653" t="s">
        <v>519</v>
      </c>
      <c r="G5" s="654"/>
      <c r="H5" s="654"/>
      <c r="R5" s="156"/>
    </row>
    <row r="6" spans="1:48" s="137" customFormat="1">
      <c r="A6" s="651" t="s">
        <v>1038</v>
      </c>
      <c r="B6" s="401"/>
      <c r="C6" s="402" t="s">
        <v>1039</v>
      </c>
      <c r="D6" s="56"/>
      <c r="E6" s="56"/>
      <c r="F6" s="56" t="s">
        <v>664</v>
      </c>
      <c r="G6" s="36"/>
      <c r="H6" s="36"/>
      <c r="R6" s="156"/>
    </row>
    <row r="7" spans="1:48" s="137" customFormat="1">
      <c r="A7" s="655" t="s">
        <v>998</v>
      </c>
      <c r="C7" s="656" t="s">
        <v>1040</v>
      </c>
      <c r="F7" s="137" t="s">
        <v>798</v>
      </c>
      <c r="R7" s="156"/>
    </row>
    <row r="8" spans="1:48" s="137" customFormat="1">
      <c r="A8" s="655" t="s">
        <v>1041</v>
      </c>
      <c r="C8" s="656" t="s">
        <v>1042</v>
      </c>
      <c r="R8" s="156"/>
    </row>
    <row r="9" spans="1:48" s="137" customFormat="1">
      <c r="A9" s="655" t="s">
        <v>1043</v>
      </c>
      <c r="C9" s="656" t="s">
        <v>1044</v>
      </c>
      <c r="R9" s="156"/>
    </row>
  </sheetData>
  <customSheetViews>
    <customSheetView guid="{474E459E-896F-4A5C-9AEF-EF74FE53C424}" hiddenColumns="1">
      <pageMargins left="0.7" right="0.7" top="0.75" bottom="0.75" header="0.3" footer="0.3"/>
    </customSheetView>
  </customSheetViews>
  <mergeCells count="13">
    <mergeCell ref="AQ1:AS1"/>
    <mergeCell ref="AT1:AV1"/>
    <mergeCell ref="A1:G1"/>
    <mergeCell ref="AB1:AD1"/>
    <mergeCell ref="AE1:AG1"/>
    <mergeCell ref="AH1:AJ1"/>
    <mergeCell ref="AK1:AM1"/>
    <mergeCell ref="AN1:AP1"/>
    <mergeCell ref="I1:K1"/>
    <mergeCell ref="L1:N1"/>
    <mergeCell ref="O1:Q1"/>
    <mergeCell ref="S1:U1"/>
    <mergeCell ref="W1:Y1"/>
  </mergeCells>
  <phoneticPr fontId="15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Z51"/>
  <sheetViews>
    <sheetView workbookViewId="0"/>
  </sheetViews>
  <sheetFormatPr defaultRowHeight="14.25"/>
  <cols>
    <col min="1" max="3" width="9" style="657"/>
    <col min="4" max="4" width="7.25" style="657" customWidth="1"/>
    <col min="5" max="5" width="75.875" style="791" customWidth="1"/>
    <col min="6" max="6" width="25.5" style="792" customWidth="1"/>
    <col min="7" max="7" width="49.625" style="792" customWidth="1"/>
    <col min="8" max="8" width="22.75" style="792" customWidth="1"/>
    <col min="9" max="9" width="36.375" style="657" customWidth="1"/>
    <col min="10" max="12" width="9" style="657"/>
    <col min="13" max="13" width="9" style="657" customWidth="1"/>
    <col min="14" max="26" width="9" style="657"/>
  </cols>
  <sheetData>
    <row r="4" spans="4:9">
      <c r="H4" s="657"/>
    </row>
    <row r="5" spans="4:9" ht="16.5">
      <c r="D5" s="658"/>
    </row>
    <row r="6" spans="4:9">
      <c r="D6" s="659"/>
      <c r="E6" s="660" t="s">
        <v>1045</v>
      </c>
      <c r="F6" s="661"/>
      <c r="G6" s="661"/>
      <c r="H6" s="661"/>
      <c r="I6" s="662"/>
    </row>
    <row r="7" spans="4:9">
      <c r="D7" s="659" t="s">
        <v>0</v>
      </c>
      <c r="E7" s="660" t="s">
        <v>2</v>
      </c>
      <c r="F7" s="661" t="s">
        <v>3</v>
      </c>
      <c r="G7" s="661" t="s">
        <v>4</v>
      </c>
      <c r="H7" s="661" t="s">
        <v>744</v>
      </c>
      <c r="I7" s="662" t="s">
        <v>745</v>
      </c>
    </row>
    <row r="8" spans="4:9" ht="78.75" customHeight="1">
      <c r="D8" s="663"/>
      <c r="E8" s="664" t="s">
        <v>1695</v>
      </c>
      <c r="F8" s="665"/>
      <c r="G8" s="661"/>
      <c r="H8" s="666" t="s">
        <v>1046</v>
      </c>
      <c r="I8" s="666" t="s">
        <v>1047</v>
      </c>
    </row>
    <row r="9" spans="4:9" ht="14.25" customHeight="1">
      <c r="D9" s="667"/>
      <c r="E9" s="664" t="s">
        <v>1696</v>
      </c>
      <c r="F9" s="668"/>
      <c r="G9" s="666"/>
      <c r="H9" s="666"/>
      <c r="I9" s="666"/>
    </row>
    <row r="10" spans="4:9">
      <c r="D10" s="667"/>
      <c r="E10" s="669" t="s">
        <v>1048</v>
      </c>
      <c r="F10" s="668"/>
      <c r="G10" s="666"/>
      <c r="H10" s="666"/>
      <c r="I10" s="662"/>
    </row>
    <row r="11" spans="4:9">
      <c r="D11" s="667"/>
      <c r="E11" s="669" t="s">
        <v>1049</v>
      </c>
      <c r="F11" s="668"/>
      <c r="G11" s="666"/>
      <c r="I11" s="662"/>
    </row>
    <row r="12" spans="4:9">
      <c r="D12" s="667"/>
      <c r="E12" s="670" t="s">
        <v>1697</v>
      </c>
      <c r="F12" s="668"/>
      <c r="G12" s="666"/>
      <c r="H12" s="666"/>
      <c r="I12" s="662"/>
    </row>
    <row r="13" spans="4:9" s="729" customFormat="1" ht="71.25">
      <c r="D13" s="671"/>
      <c r="E13" s="672" t="s">
        <v>1050</v>
      </c>
      <c r="F13" s="673" t="s">
        <v>1051</v>
      </c>
      <c r="G13" s="674" t="s">
        <v>1052</v>
      </c>
      <c r="H13" s="675"/>
      <c r="I13" s="676"/>
    </row>
    <row r="14" spans="4:9" s="729" customFormat="1" ht="57">
      <c r="D14" s="671"/>
      <c r="E14" s="672" t="s">
        <v>1053</v>
      </c>
      <c r="F14" s="673" t="s">
        <v>1054</v>
      </c>
      <c r="G14" s="674" t="s">
        <v>1055</v>
      </c>
      <c r="H14" s="675"/>
      <c r="I14" s="676"/>
    </row>
    <row r="15" spans="4:9" s="729" customFormat="1" ht="42.75">
      <c r="D15" s="671"/>
      <c r="E15" s="672" t="s">
        <v>1056</v>
      </c>
      <c r="F15" s="673" t="s">
        <v>1057</v>
      </c>
      <c r="G15" s="674" t="s">
        <v>1058</v>
      </c>
      <c r="H15" s="675"/>
      <c r="I15" s="676"/>
    </row>
    <row r="16" spans="4:9">
      <c r="D16" s="667"/>
      <c r="E16" s="662"/>
      <c r="F16" s="668"/>
      <c r="G16" s="666"/>
      <c r="H16" s="666"/>
      <c r="I16" s="662"/>
    </row>
    <row r="17" spans="4:9">
      <c r="D17" s="667"/>
      <c r="E17" s="664" t="s">
        <v>1698</v>
      </c>
      <c r="F17" s="668"/>
      <c r="G17" s="666"/>
      <c r="H17" s="666"/>
      <c r="I17" s="662"/>
    </row>
    <row r="18" spans="4:9" s="729" customFormat="1" ht="57">
      <c r="D18" s="671"/>
      <c r="E18" s="672" t="s">
        <v>1059</v>
      </c>
      <c r="F18" s="673" t="s">
        <v>1060</v>
      </c>
      <c r="G18" s="674" t="s">
        <v>1061</v>
      </c>
      <c r="H18" s="675"/>
      <c r="I18" s="676"/>
    </row>
    <row r="19" spans="4:9" s="729" customFormat="1" ht="57">
      <c r="D19" s="671"/>
      <c r="E19" s="672" t="s">
        <v>1062</v>
      </c>
      <c r="F19" s="673" t="s">
        <v>1063</v>
      </c>
      <c r="G19" s="674" t="s">
        <v>1064</v>
      </c>
      <c r="H19" s="675"/>
      <c r="I19" s="676"/>
    </row>
    <row r="20" spans="4:9" s="729" customFormat="1" ht="57">
      <c r="D20" s="671"/>
      <c r="E20" s="672" t="s">
        <v>1065</v>
      </c>
      <c r="F20" s="673" t="s">
        <v>1066</v>
      </c>
      <c r="G20" s="674" t="s">
        <v>1067</v>
      </c>
      <c r="H20" s="675"/>
      <c r="I20" s="676"/>
    </row>
    <row r="21" spans="4:9">
      <c r="D21" s="667"/>
      <c r="E21" s="662"/>
      <c r="F21" s="668"/>
      <c r="G21" s="666"/>
      <c r="H21" s="666"/>
      <c r="I21" s="662"/>
    </row>
    <row r="22" spans="4:9">
      <c r="D22" s="667"/>
      <c r="E22" s="664" t="s">
        <v>1699</v>
      </c>
      <c r="F22" s="668"/>
      <c r="G22" s="666"/>
      <c r="H22" s="666"/>
      <c r="I22" s="662"/>
    </row>
    <row r="23" spans="4:9" s="729" customFormat="1" ht="99.75">
      <c r="D23" s="671"/>
      <c r="E23" s="672" t="s">
        <v>1068</v>
      </c>
      <c r="F23" s="673" t="s">
        <v>1069</v>
      </c>
      <c r="G23" s="674" t="s">
        <v>1070</v>
      </c>
      <c r="H23" s="675"/>
      <c r="I23" s="676"/>
    </row>
    <row r="24" spans="4:9" s="729" customFormat="1" ht="114.75" customHeight="1">
      <c r="D24" s="671"/>
      <c r="E24" s="672" t="s">
        <v>1071</v>
      </c>
      <c r="F24" s="673" t="s">
        <v>1072</v>
      </c>
      <c r="G24" s="674" t="s">
        <v>1073</v>
      </c>
      <c r="H24" s="675"/>
      <c r="I24" s="676"/>
    </row>
    <row r="25" spans="4:9" s="729" customFormat="1" ht="114">
      <c r="D25" s="671"/>
      <c r="E25" s="672" t="s">
        <v>1074</v>
      </c>
      <c r="F25" s="673" t="s">
        <v>1075</v>
      </c>
      <c r="G25" s="674" t="s">
        <v>1076</v>
      </c>
      <c r="H25" s="675"/>
      <c r="I25" s="676"/>
    </row>
    <row r="26" spans="4:9">
      <c r="D26" s="667"/>
      <c r="E26" s="669"/>
      <c r="F26" s="668"/>
      <c r="G26" s="666"/>
      <c r="H26" s="666"/>
      <c r="I26" s="662"/>
    </row>
    <row r="27" spans="4:9">
      <c r="D27" s="667"/>
      <c r="E27" s="664" t="s">
        <v>1700</v>
      </c>
      <c r="F27" s="668"/>
      <c r="G27" s="666"/>
      <c r="H27" s="666"/>
      <c r="I27" s="662"/>
    </row>
    <row r="28" spans="4:9">
      <c r="D28" s="667"/>
      <c r="E28" s="669" t="s">
        <v>1048</v>
      </c>
      <c r="F28" s="668"/>
      <c r="G28" s="666"/>
      <c r="H28" s="666"/>
      <c r="I28" s="662"/>
    </row>
    <row r="29" spans="4:9">
      <c r="D29" s="667"/>
      <c r="E29" s="669" t="s">
        <v>1077</v>
      </c>
      <c r="F29" s="668"/>
      <c r="G29" s="666"/>
      <c r="H29" s="666"/>
      <c r="I29" s="662"/>
    </row>
    <row r="30" spans="4:9">
      <c r="D30" s="667"/>
      <c r="E30" s="662"/>
      <c r="F30" s="668"/>
      <c r="G30" s="666"/>
      <c r="H30" s="666"/>
      <c r="I30" s="662"/>
    </row>
    <row r="31" spans="4:9">
      <c r="D31" s="667"/>
      <c r="E31" s="664" t="s">
        <v>1701</v>
      </c>
      <c r="F31" s="668"/>
      <c r="G31" s="666"/>
      <c r="H31" s="666"/>
      <c r="I31" s="662"/>
    </row>
    <row r="32" spans="4:9" s="729" customFormat="1" ht="42.75">
      <c r="D32" s="671"/>
      <c r="E32" s="672" t="s">
        <v>1078</v>
      </c>
      <c r="F32" s="673" t="s">
        <v>1079</v>
      </c>
      <c r="G32" s="674" t="s">
        <v>1080</v>
      </c>
      <c r="H32" s="675"/>
      <c r="I32" s="676"/>
    </row>
    <row r="33" spans="4:9" s="729" customFormat="1" ht="128.25">
      <c r="D33" s="671"/>
      <c r="E33" s="672" t="s">
        <v>1081</v>
      </c>
      <c r="F33" s="673" t="s">
        <v>1082</v>
      </c>
      <c r="G33" s="674" t="s">
        <v>1083</v>
      </c>
      <c r="H33" s="675"/>
      <c r="I33" s="676"/>
    </row>
    <row r="34" spans="4:9" s="729" customFormat="1" ht="28.5">
      <c r="D34" s="671"/>
      <c r="E34" s="672" t="s">
        <v>1084</v>
      </c>
      <c r="F34" s="673" t="s">
        <v>1085</v>
      </c>
      <c r="G34" s="674" t="s">
        <v>1086</v>
      </c>
      <c r="H34" s="675"/>
      <c r="I34" s="676"/>
    </row>
    <row r="35" spans="4:9">
      <c r="D35" s="667"/>
      <c r="E35" s="662"/>
      <c r="F35" s="668"/>
      <c r="G35" s="666"/>
      <c r="H35" s="666"/>
      <c r="I35" s="662"/>
    </row>
    <row r="36" spans="4:9">
      <c r="D36" s="667"/>
      <c r="E36" s="664" t="s">
        <v>1702</v>
      </c>
      <c r="F36" s="668"/>
      <c r="G36" s="666"/>
      <c r="H36" s="666"/>
      <c r="I36" s="662"/>
    </row>
    <row r="37" spans="4:9">
      <c r="D37" s="667"/>
      <c r="E37" s="669"/>
      <c r="F37" s="668"/>
      <c r="G37" s="666"/>
      <c r="H37" s="666"/>
      <c r="I37" s="662"/>
    </row>
    <row r="38" spans="4:9" s="729" customFormat="1" ht="114">
      <c r="D38" s="671"/>
      <c r="E38" s="672" t="s">
        <v>1087</v>
      </c>
      <c r="F38" s="673" t="s">
        <v>1088</v>
      </c>
      <c r="G38" s="674" t="s">
        <v>1089</v>
      </c>
      <c r="H38" s="675"/>
      <c r="I38" s="676"/>
    </row>
    <row r="39" spans="4:9" s="729" customFormat="1" ht="114">
      <c r="D39" s="671"/>
      <c r="E39" s="672" t="s">
        <v>1090</v>
      </c>
      <c r="F39" s="673" t="s">
        <v>1091</v>
      </c>
      <c r="G39" s="674" t="s">
        <v>1092</v>
      </c>
      <c r="H39" s="675"/>
      <c r="I39" s="676"/>
    </row>
    <row r="40" spans="4:9" s="729" customFormat="1">
      <c r="D40" s="671"/>
      <c r="E40" s="672" t="s">
        <v>1093</v>
      </c>
      <c r="F40" s="677"/>
      <c r="G40" s="674" t="s">
        <v>1094</v>
      </c>
      <c r="H40" s="675"/>
      <c r="I40" s="676"/>
    </row>
    <row r="41" spans="4:9">
      <c r="D41" s="667"/>
      <c r="E41" s="662"/>
      <c r="F41" s="668"/>
      <c r="G41" s="666"/>
      <c r="H41" s="666"/>
      <c r="I41" s="662"/>
    </row>
    <row r="42" spans="4:9">
      <c r="D42" s="667"/>
      <c r="E42" s="664" t="s">
        <v>1703</v>
      </c>
      <c r="F42" s="668"/>
      <c r="G42" s="666"/>
      <c r="H42" s="666"/>
      <c r="I42" s="662"/>
    </row>
    <row r="43" spans="4:9" s="729" customFormat="1" ht="28.5">
      <c r="D43" s="671"/>
      <c r="E43" s="672" t="s">
        <v>1095</v>
      </c>
      <c r="F43" s="673" t="s">
        <v>1096</v>
      </c>
      <c r="G43" s="674" t="s">
        <v>1097</v>
      </c>
      <c r="H43" s="675"/>
      <c r="I43" s="676"/>
    </row>
    <row r="44" spans="4:9" s="729" customFormat="1" ht="28.5">
      <c r="D44" s="671"/>
      <c r="E44" s="672" t="s">
        <v>1098</v>
      </c>
      <c r="F44" s="673" t="s">
        <v>1099</v>
      </c>
      <c r="G44" s="674" t="s">
        <v>1100</v>
      </c>
      <c r="H44" s="675"/>
      <c r="I44" s="676"/>
    </row>
    <row r="45" spans="4:9" s="729" customFormat="1" ht="57">
      <c r="D45" s="671"/>
      <c r="E45" s="672" t="s">
        <v>1101</v>
      </c>
      <c r="F45" s="673" t="s">
        <v>1102</v>
      </c>
      <c r="G45" s="674" t="s">
        <v>1103</v>
      </c>
      <c r="H45" s="675"/>
      <c r="I45" s="676"/>
    </row>
    <row r="46" spans="4:9">
      <c r="D46" s="667"/>
      <c r="E46" s="662"/>
      <c r="F46" s="668"/>
      <c r="G46" s="666"/>
      <c r="H46" s="666"/>
      <c r="I46" s="662"/>
    </row>
    <row r="47" spans="4:9">
      <c r="D47" s="667"/>
      <c r="E47" s="664" t="s">
        <v>1704</v>
      </c>
      <c r="F47" s="668"/>
      <c r="G47" s="666"/>
      <c r="H47" s="666"/>
      <c r="I47" s="662"/>
    </row>
    <row r="48" spans="4:9" s="729" customFormat="1" ht="28.5">
      <c r="D48" s="671"/>
      <c r="E48" s="672" t="s">
        <v>1104</v>
      </c>
      <c r="F48" s="673" t="s">
        <v>1105</v>
      </c>
      <c r="G48" s="674" t="s">
        <v>1106</v>
      </c>
      <c r="H48" s="675"/>
      <c r="I48" s="676"/>
    </row>
    <row r="49" spans="4:9" s="729" customFormat="1" ht="42.75">
      <c r="D49" s="671"/>
      <c r="E49" s="672" t="s">
        <v>1107</v>
      </c>
      <c r="F49" s="673" t="s">
        <v>1108</v>
      </c>
      <c r="G49" s="674" t="s">
        <v>1109</v>
      </c>
      <c r="H49" s="675"/>
      <c r="I49" s="676"/>
    </row>
    <row r="50" spans="4:9" s="729" customFormat="1" ht="42.75">
      <c r="D50" s="671"/>
      <c r="E50" s="672" t="s">
        <v>1110</v>
      </c>
      <c r="F50" s="673" t="s">
        <v>1111</v>
      </c>
      <c r="G50" s="674" t="s">
        <v>1112</v>
      </c>
      <c r="H50" s="675"/>
      <c r="I50" s="676"/>
    </row>
    <row r="51" spans="4:9">
      <c r="D51" s="667"/>
      <c r="E51" s="669"/>
      <c r="F51" s="668"/>
      <c r="G51" s="666"/>
      <c r="H51" s="666"/>
      <c r="I51" s="662"/>
    </row>
  </sheetData>
  <phoneticPr fontId="15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D5:I26"/>
  <sheetViews>
    <sheetView workbookViewId="0"/>
  </sheetViews>
  <sheetFormatPr defaultRowHeight="14.25"/>
  <cols>
    <col min="4" max="4" width="7.25" customWidth="1"/>
    <col min="5" max="5" width="44.5" style="793" customWidth="1"/>
    <col min="6" max="6" width="25.5" customWidth="1"/>
    <col min="7" max="7" width="41.5" customWidth="1"/>
    <col min="8" max="8" width="22.75" style="794" customWidth="1"/>
    <col min="9" max="9" width="36.375" customWidth="1"/>
    <col min="13" max="13" width="9" customWidth="1"/>
  </cols>
  <sheetData>
    <row r="5" spans="4:9" ht="16.5">
      <c r="D5" s="678"/>
    </row>
    <row r="6" spans="4:9">
      <c r="D6" s="6"/>
      <c r="E6" s="679" t="s">
        <v>1113</v>
      </c>
      <c r="F6" s="385"/>
      <c r="G6" s="385"/>
      <c r="H6" s="680"/>
      <c r="I6" s="681"/>
    </row>
    <row r="7" spans="4:9">
      <c r="D7" s="6" t="s">
        <v>0</v>
      </c>
      <c r="E7" s="679" t="s">
        <v>2</v>
      </c>
      <c r="F7" s="385" t="s">
        <v>3</v>
      </c>
      <c r="G7" s="680" t="s">
        <v>4</v>
      </c>
      <c r="H7" s="680" t="s">
        <v>744</v>
      </c>
      <c r="I7" s="681" t="s">
        <v>745</v>
      </c>
    </row>
    <row r="8" spans="4:9" ht="78.75" customHeight="1">
      <c r="D8" s="6"/>
      <c r="E8" s="682" t="s">
        <v>1114</v>
      </c>
      <c r="F8" s="385"/>
      <c r="G8" s="385"/>
      <c r="H8" s="683" t="s">
        <v>318</v>
      </c>
      <c r="I8" s="666" t="s">
        <v>1047</v>
      </c>
    </row>
    <row r="9" spans="4:9" ht="14.25" customHeight="1">
      <c r="D9" s="684"/>
      <c r="E9" s="682" t="s">
        <v>1705</v>
      </c>
      <c r="F9" s="681"/>
      <c r="G9" s="681"/>
      <c r="H9" s="683"/>
      <c r="I9" s="683"/>
    </row>
    <row r="10" spans="4:9" ht="36">
      <c r="D10" s="684"/>
      <c r="E10" s="682" t="s">
        <v>1115</v>
      </c>
      <c r="F10" s="681"/>
      <c r="G10" s="681"/>
      <c r="H10" s="683"/>
      <c r="I10" s="681"/>
    </row>
    <row r="11" spans="4:9">
      <c r="D11" s="684"/>
      <c r="E11" s="682" t="s">
        <v>1116</v>
      </c>
      <c r="F11" s="681"/>
      <c r="G11" s="681"/>
      <c r="H11" s="683"/>
      <c r="I11" s="681"/>
    </row>
    <row r="12" spans="4:9" s="729" customFormat="1" ht="28.5">
      <c r="D12" s="685"/>
      <c r="E12" s="686" t="s">
        <v>1706</v>
      </c>
      <c r="F12" s="674" t="s">
        <v>1117</v>
      </c>
      <c r="G12" s="674" t="s">
        <v>1118</v>
      </c>
      <c r="H12" s="683" t="s">
        <v>318</v>
      </c>
      <c r="I12" s="676"/>
    </row>
    <row r="13" spans="4:9" s="729" customFormat="1" ht="114">
      <c r="D13" s="685"/>
      <c r="E13" s="687" t="s">
        <v>1707</v>
      </c>
      <c r="F13" s="674" t="s">
        <v>1119</v>
      </c>
      <c r="G13" s="674" t="s">
        <v>1120</v>
      </c>
      <c r="H13" s="683" t="s">
        <v>318</v>
      </c>
      <c r="I13" s="676"/>
    </row>
    <row r="14" spans="4:9" s="657" customFormat="1">
      <c r="D14" s="688"/>
      <c r="E14" s="689" t="s">
        <v>1708</v>
      </c>
      <c r="F14" s="662"/>
      <c r="G14" s="662"/>
      <c r="H14" s="666"/>
      <c r="I14" s="662"/>
    </row>
    <row r="15" spans="4:9" s="657" customFormat="1">
      <c r="D15" s="688"/>
      <c r="E15" s="689" t="s">
        <v>1709</v>
      </c>
      <c r="F15" s="662"/>
      <c r="G15" s="662"/>
      <c r="H15" s="666"/>
      <c r="I15" s="662"/>
    </row>
    <row r="16" spans="4:9" s="657" customFormat="1">
      <c r="D16" s="688"/>
      <c r="E16" s="689" t="s">
        <v>1710</v>
      </c>
      <c r="F16" s="662"/>
      <c r="G16" s="662"/>
      <c r="H16" s="666"/>
      <c r="I16" s="662"/>
    </row>
    <row r="17" spans="4:9" s="729" customFormat="1" ht="85.5">
      <c r="D17" s="685"/>
      <c r="E17" s="687" t="s">
        <v>1711</v>
      </c>
      <c r="F17" s="674" t="s">
        <v>1121</v>
      </c>
      <c r="G17" s="674" t="s">
        <v>1122</v>
      </c>
      <c r="H17" s="674" t="s">
        <v>318</v>
      </c>
      <c r="I17" s="676"/>
    </row>
    <row r="18" spans="4:9" s="729" customFormat="1" ht="85.5">
      <c r="D18" s="685"/>
      <c r="E18" s="687" t="s">
        <v>1712</v>
      </c>
      <c r="F18" s="674" t="s">
        <v>1121</v>
      </c>
      <c r="G18" s="674" t="s">
        <v>1123</v>
      </c>
      <c r="H18" s="674" t="s">
        <v>318</v>
      </c>
      <c r="I18" s="676"/>
    </row>
    <row r="19" spans="4:9">
      <c r="D19" s="684"/>
      <c r="E19" s="682" t="s">
        <v>1713</v>
      </c>
      <c r="F19" s="681"/>
      <c r="G19" s="681"/>
      <c r="H19" s="683"/>
      <c r="I19" s="681"/>
    </row>
    <row r="20" spans="4:9">
      <c r="D20" s="684"/>
      <c r="E20" s="682" t="s">
        <v>1124</v>
      </c>
      <c r="F20" s="681"/>
      <c r="G20" s="681"/>
      <c r="H20" s="683"/>
      <c r="I20" s="681"/>
    </row>
    <row r="21" spans="4:9" s="729" customFormat="1" ht="85.5">
      <c r="D21" s="685"/>
      <c r="E21" s="690" t="s">
        <v>1125</v>
      </c>
      <c r="F21" s="691" t="s">
        <v>1126</v>
      </c>
      <c r="G21" s="691" t="s">
        <v>1127</v>
      </c>
      <c r="H21" s="691" t="s">
        <v>686</v>
      </c>
      <c r="I21" s="692"/>
    </row>
    <row r="22" spans="4:9" s="729" customFormat="1" ht="85.5">
      <c r="D22" s="693"/>
      <c r="E22" s="694" t="s">
        <v>1128</v>
      </c>
      <c r="F22" s="695" t="s">
        <v>1126</v>
      </c>
      <c r="G22" s="695" t="s">
        <v>1127</v>
      </c>
      <c r="H22" s="695" t="s">
        <v>686</v>
      </c>
      <c r="I22" s="696"/>
    </row>
    <row r="23" spans="4:9">
      <c r="D23" s="697"/>
      <c r="E23" s="698" t="s">
        <v>1714</v>
      </c>
      <c r="F23" s="56"/>
      <c r="G23" s="56"/>
      <c r="H23" s="398"/>
      <c r="I23" s="56"/>
    </row>
    <row r="24" spans="4:9" s="657" customFormat="1">
      <c r="D24" s="699"/>
      <c r="E24" s="700" t="s">
        <v>1129</v>
      </c>
      <c r="F24" s="701"/>
      <c r="G24" s="701"/>
      <c r="H24" s="702"/>
      <c r="I24" s="701"/>
    </row>
    <row r="25" spans="4:9" s="729" customFormat="1" ht="85.5">
      <c r="D25" s="693"/>
      <c r="E25" s="694" t="s">
        <v>1130</v>
      </c>
      <c r="F25" s="703" t="s">
        <v>1131</v>
      </c>
      <c r="G25" s="695" t="s">
        <v>1127</v>
      </c>
      <c r="H25" s="695" t="s">
        <v>686</v>
      </c>
      <c r="I25" s="696"/>
    </row>
    <row r="26" spans="4:9" s="729" customFormat="1" ht="85.5">
      <c r="D26" s="693"/>
      <c r="E26" s="694" t="s">
        <v>1132</v>
      </c>
      <c r="F26" s="703" t="s">
        <v>1131</v>
      </c>
      <c r="G26" s="695" t="s">
        <v>1127</v>
      </c>
      <c r="H26" s="695" t="s">
        <v>686</v>
      </c>
      <c r="I26" s="696"/>
    </row>
  </sheetData>
  <phoneticPr fontId="15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Z50"/>
  <sheetViews>
    <sheetView topLeftCell="A8" workbookViewId="0"/>
  </sheetViews>
  <sheetFormatPr defaultRowHeight="14.25"/>
  <cols>
    <col min="1" max="3" width="9" style="657"/>
    <col min="4" max="4" width="7.25" style="657" customWidth="1"/>
    <col min="5" max="5" width="77.625" style="795" customWidth="1"/>
    <col min="6" max="6" width="25.5" style="657" customWidth="1"/>
    <col min="7" max="7" width="46.875" style="657" customWidth="1"/>
    <col min="8" max="8" width="22.75" style="792" customWidth="1"/>
    <col min="9" max="9" width="36.375" style="657" customWidth="1"/>
    <col min="10" max="12" width="9" style="657"/>
    <col min="13" max="13" width="9" style="657" customWidth="1"/>
    <col min="14" max="26" width="9" style="657"/>
  </cols>
  <sheetData>
    <row r="4" spans="4:9">
      <c r="H4" s="657"/>
    </row>
    <row r="5" spans="4:9" ht="16.5">
      <c r="D5" s="658"/>
    </row>
    <row r="6" spans="4:9">
      <c r="D6" s="659"/>
      <c r="E6" s="704" t="s">
        <v>1113</v>
      </c>
      <c r="F6" s="705"/>
      <c r="G6" s="705"/>
      <c r="H6" s="661"/>
      <c r="I6" s="662"/>
    </row>
    <row r="7" spans="4:9">
      <c r="D7" s="659" t="s">
        <v>0</v>
      </c>
      <c r="E7" s="704" t="s">
        <v>2</v>
      </c>
      <c r="F7" s="705" t="s">
        <v>3</v>
      </c>
      <c r="G7" s="661" t="s">
        <v>4</v>
      </c>
      <c r="H7" s="661" t="s">
        <v>744</v>
      </c>
      <c r="I7" s="662" t="s">
        <v>745</v>
      </c>
    </row>
    <row r="8" spans="4:9" ht="78.75" customHeight="1">
      <c r="D8" s="659"/>
      <c r="E8" s="706" t="s">
        <v>1715</v>
      </c>
      <c r="F8" s="705"/>
      <c r="G8" s="705"/>
      <c r="H8" s="666" t="s">
        <v>114</v>
      </c>
      <c r="I8" s="666" t="s">
        <v>1047</v>
      </c>
    </row>
    <row r="9" spans="4:9" ht="14.25" customHeight="1">
      <c r="D9" s="688"/>
      <c r="E9" s="706" t="s">
        <v>1716</v>
      </c>
      <c r="F9" s="662"/>
      <c r="G9" s="662"/>
      <c r="H9" s="666"/>
      <c r="I9" s="666"/>
    </row>
    <row r="10" spans="4:9">
      <c r="D10" s="688"/>
      <c r="E10" s="706" t="s">
        <v>1133</v>
      </c>
      <c r="F10" s="662"/>
      <c r="G10" s="662"/>
      <c r="H10" s="666"/>
      <c r="I10" s="662"/>
    </row>
    <row r="11" spans="4:9" s="729" customFormat="1" ht="57">
      <c r="D11" s="685"/>
      <c r="E11" s="707" t="s">
        <v>1134</v>
      </c>
      <c r="F11" s="708" t="s">
        <v>1135</v>
      </c>
      <c r="G11" s="674" t="s">
        <v>1136</v>
      </c>
      <c r="H11" s="675"/>
      <c r="I11" s="676"/>
    </row>
    <row r="12" spans="4:9" s="729" customFormat="1" ht="28.5">
      <c r="D12" s="685"/>
      <c r="E12" s="707" t="s">
        <v>1137</v>
      </c>
      <c r="F12" s="708" t="s">
        <v>1138</v>
      </c>
      <c r="G12" s="674" t="s">
        <v>1139</v>
      </c>
      <c r="H12" s="675"/>
      <c r="I12" s="676"/>
    </row>
    <row r="13" spans="4:9" s="729" customFormat="1">
      <c r="D13" s="685"/>
      <c r="E13" s="707" t="s">
        <v>1140</v>
      </c>
      <c r="F13" s="708" t="s">
        <v>1141</v>
      </c>
      <c r="G13" s="708" t="s">
        <v>1142</v>
      </c>
      <c r="H13" s="675"/>
      <c r="I13" s="676"/>
    </row>
    <row r="14" spans="4:9">
      <c r="D14" s="688"/>
      <c r="E14" s="706" t="s">
        <v>1717</v>
      </c>
      <c r="F14" s="662"/>
      <c r="G14" s="662"/>
      <c r="H14" s="666"/>
      <c r="I14" s="662"/>
    </row>
    <row r="15" spans="4:9">
      <c r="D15" s="688"/>
      <c r="E15" s="706" t="s">
        <v>1143</v>
      </c>
      <c r="F15" s="662"/>
      <c r="G15" s="662"/>
      <c r="H15" s="666"/>
      <c r="I15" s="662"/>
    </row>
    <row r="16" spans="4:9" s="729" customFormat="1" ht="71.25">
      <c r="D16" s="685"/>
      <c r="E16" s="707" t="s">
        <v>1144</v>
      </c>
      <c r="F16" s="708" t="s">
        <v>1145</v>
      </c>
      <c r="G16" s="674" t="s">
        <v>1146</v>
      </c>
      <c r="H16" s="675"/>
      <c r="I16" s="676"/>
    </row>
    <row r="17" spans="4:9" s="729" customFormat="1" ht="28.5">
      <c r="D17" s="685"/>
      <c r="E17" s="707" t="s">
        <v>1147</v>
      </c>
      <c r="F17" s="674" t="s">
        <v>1148</v>
      </c>
      <c r="G17" s="674" t="s">
        <v>1149</v>
      </c>
      <c r="H17" s="675"/>
      <c r="I17" s="676"/>
    </row>
    <row r="18" spans="4:9" s="729" customFormat="1" ht="28.5">
      <c r="D18" s="685"/>
      <c r="E18" s="707" t="s">
        <v>1150</v>
      </c>
      <c r="F18" s="674" t="s">
        <v>1151</v>
      </c>
      <c r="G18" s="674" t="s">
        <v>1152</v>
      </c>
      <c r="H18" s="675"/>
      <c r="I18" s="676"/>
    </row>
    <row r="19" spans="4:9">
      <c r="D19" s="688"/>
      <c r="E19" s="706" t="s">
        <v>1718</v>
      </c>
      <c r="F19" s="662"/>
      <c r="G19" s="662"/>
      <c r="H19" s="666"/>
      <c r="I19" s="662"/>
    </row>
    <row r="20" spans="4:9">
      <c r="D20" s="688"/>
      <c r="E20" s="706" t="s">
        <v>1153</v>
      </c>
      <c r="F20" s="662"/>
      <c r="G20" s="662"/>
      <c r="H20" s="666"/>
      <c r="I20" s="662"/>
    </row>
    <row r="21" spans="4:9" s="729" customFormat="1" ht="42.75">
      <c r="D21" s="685"/>
      <c r="E21" s="707" t="s">
        <v>1154</v>
      </c>
      <c r="F21" s="674" t="s">
        <v>1155</v>
      </c>
      <c r="G21" s="674" t="s">
        <v>1156</v>
      </c>
      <c r="H21" s="675"/>
      <c r="I21" s="676"/>
    </row>
    <row r="22" spans="4:9" s="729" customFormat="1" ht="42.75">
      <c r="D22" s="685"/>
      <c r="E22" s="707" t="s">
        <v>1157</v>
      </c>
      <c r="F22" s="674" t="s">
        <v>1158</v>
      </c>
      <c r="G22" s="674" t="s">
        <v>1159</v>
      </c>
      <c r="H22" s="675"/>
      <c r="I22" s="676"/>
    </row>
    <row r="23" spans="4:9" s="729" customFormat="1" ht="28.5">
      <c r="D23" s="685"/>
      <c r="E23" s="707" t="s">
        <v>1160</v>
      </c>
      <c r="F23" s="708" t="s">
        <v>1161</v>
      </c>
      <c r="G23" s="674" t="s">
        <v>1162</v>
      </c>
      <c r="H23" s="675"/>
      <c r="I23" s="676"/>
    </row>
    <row r="24" spans="4:9">
      <c r="D24" s="688"/>
      <c r="E24" s="706" t="s">
        <v>1719</v>
      </c>
      <c r="F24" s="662"/>
      <c r="G24" s="662"/>
      <c r="H24" s="666"/>
      <c r="I24" s="662"/>
    </row>
    <row r="25" spans="4:9" ht="27" customHeight="1">
      <c r="D25" s="688"/>
      <c r="E25" s="706" t="s">
        <v>1163</v>
      </c>
      <c r="F25" s="662"/>
      <c r="G25" s="662"/>
      <c r="H25" s="666"/>
      <c r="I25" s="662"/>
    </row>
    <row r="26" spans="4:9" s="729" customFormat="1" ht="42.75">
      <c r="D26" s="685"/>
      <c r="E26" s="707" t="s">
        <v>1164</v>
      </c>
      <c r="F26" s="674" t="s">
        <v>1165</v>
      </c>
      <c r="G26" s="674" t="s">
        <v>1166</v>
      </c>
      <c r="H26" s="675"/>
      <c r="I26" s="676"/>
    </row>
    <row r="27" spans="4:9" s="729" customFormat="1" ht="42.75">
      <c r="D27" s="685"/>
      <c r="E27" s="707" t="s">
        <v>1167</v>
      </c>
      <c r="F27" s="674" t="s">
        <v>1168</v>
      </c>
      <c r="G27" s="674" t="s">
        <v>1169</v>
      </c>
      <c r="H27" s="675"/>
      <c r="I27" s="676"/>
    </row>
    <row r="28" spans="4:9" s="729" customFormat="1" ht="42.75">
      <c r="D28" s="685"/>
      <c r="E28" s="707" t="s">
        <v>1170</v>
      </c>
      <c r="F28" s="674" t="s">
        <v>1171</v>
      </c>
      <c r="G28" s="674" t="s">
        <v>1172</v>
      </c>
      <c r="H28" s="675"/>
      <c r="I28" s="676"/>
    </row>
    <row r="29" spans="4:9">
      <c r="D29" s="688"/>
      <c r="E29" s="709"/>
      <c r="F29" s="662"/>
      <c r="G29" s="662"/>
      <c r="H29" s="666"/>
      <c r="I29" s="662"/>
    </row>
    <row r="30" spans="4:9">
      <c r="D30" s="688"/>
      <c r="E30" s="706" t="s">
        <v>1720</v>
      </c>
      <c r="F30" s="662"/>
      <c r="G30" s="662"/>
      <c r="H30" s="666"/>
      <c r="I30" s="662"/>
    </row>
    <row r="31" spans="4:9" s="729" customFormat="1">
      <c r="D31" s="685"/>
      <c r="E31" s="706" t="s">
        <v>1173</v>
      </c>
      <c r="F31" s="676"/>
      <c r="G31" s="676"/>
      <c r="H31" s="675"/>
      <c r="I31" s="676"/>
    </row>
    <row r="32" spans="4:9" s="729" customFormat="1" ht="28.5">
      <c r="D32" s="685"/>
      <c r="E32" s="707" t="s">
        <v>1174</v>
      </c>
      <c r="F32" s="708" t="s">
        <v>1175</v>
      </c>
      <c r="G32" s="674" t="s">
        <v>1176</v>
      </c>
      <c r="H32" s="675"/>
      <c r="I32" s="676"/>
    </row>
    <row r="33" spans="4:9" s="729" customFormat="1" ht="28.5">
      <c r="D33" s="685"/>
      <c r="E33" s="707" t="s">
        <v>1177</v>
      </c>
      <c r="F33" s="708" t="s">
        <v>1178</v>
      </c>
      <c r="G33" s="674" t="s">
        <v>1179</v>
      </c>
      <c r="H33" s="675"/>
      <c r="I33" s="676"/>
    </row>
    <row r="34" spans="4:9" s="729" customFormat="1" ht="28.5">
      <c r="D34" s="685"/>
      <c r="E34" s="707" t="s">
        <v>1180</v>
      </c>
      <c r="F34" s="708" t="s">
        <v>1181</v>
      </c>
      <c r="G34" s="674" t="s">
        <v>1182</v>
      </c>
      <c r="H34" s="675"/>
      <c r="I34" s="676"/>
    </row>
    <row r="35" spans="4:9">
      <c r="D35" s="688"/>
      <c r="E35" s="706" t="s">
        <v>1721</v>
      </c>
      <c r="F35" s="662"/>
      <c r="G35" s="662"/>
      <c r="H35" s="666"/>
      <c r="I35" s="662"/>
    </row>
    <row r="36" spans="4:9">
      <c r="D36" s="688"/>
      <c r="E36" s="706" t="s">
        <v>1183</v>
      </c>
      <c r="F36" s="662"/>
      <c r="G36" s="662"/>
      <c r="H36" s="666"/>
      <c r="I36" s="662"/>
    </row>
    <row r="37" spans="4:9" s="729" customFormat="1" ht="28.5">
      <c r="D37" s="685"/>
      <c r="E37" s="707" t="s">
        <v>1184</v>
      </c>
      <c r="F37" s="674" t="s">
        <v>1185</v>
      </c>
      <c r="G37" s="674" t="s">
        <v>1186</v>
      </c>
      <c r="H37" s="675"/>
      <c r="I37" s="676"/>
    </row>
    <row r="38" spans="4:9" s="729" customFormat="1" ht="42.75">
      <c r="D38" s="685"/>
      <c r="E38" s="707" t="s">
        <v>1187</v>
      </c>
      <c r="F38" s="674" t="s">
        <v>1188</v>
      </c>
      <c r="G38" s="674" t="s">
        <v>1189</v>
      </c>
      <c r="H38" s="675"/>
      <c r="I38" s="676"/>
    </row>
    <row r="39" spans="4:9" s="729" customFormat="1" ht="28.5">
      <c r="D39" s="685"/>
      <c r="E39" s="707" t="s">
        <v>1190</v>
      </c>
      <c r="F39" s="674" t="s">
        <v>1191</v>
      </c>
      <c r="G39" s="674" t="s">
        <v>1192</v>
      </c>
      <c r="H39" s="675"/>
      <c r="I39" s="676"/>
    </row>
    <row r="40" spans="4:9">
      <c r="D40" s="688"/>
      <c r="E40" s="709"/>
      <c r="F40" s="662"/>
      <c r="G40" s="662"/>
      <c r="H40" s="666"/>
      <c r="I40" s="662"/>
    </row>
    <row r="41" spans="4:9">
      <c r="D41" s="688"/>
      <c r="E41" s="706" t="s">
        <v>1722</v>
      </c>
      <c r="F41" s="662"/>
      <c r="G41" s="662"/>
      <c r="H41" s="666"/>
      <c r="I41" s="662"/>
    </row>
    <row r="42" spans="4:9">
      <c r="D42" s="688"/>
      <c r="E42" s="706" t="s">
        <v>1193</v>
      </c>
      <c r="F42" s="662"/>
      <c r="G42" s="662"/>
      <c r="H42" s="666"/>
      <c r="I42" s="662"/>
    </row>
    <row r="43" spans="4:9" s="729" customFormat="1">
      <c r="D43" s="685"/>
      <c r="E43" s="707" t="s">
        <v>1194</v>
      </c>
      <c r="F43" s="708" t="s">
        <v>1195</v>
      </c>
      <c r="G43" s="674" t="s">
        <v>1196</v>
      </c>
      <c r="H43" s="675"/>
      <c r="I43" s="676"/>
    </row>
    <row r="44" spans="4:9" s="729" customFormat="1">
      <c r="D44" s="685"/>
      <c r="E44" s="707" t="s">
        <v>1197</v>
      </c>
      <c r="F44" s="708" t="s">
        <v>1198</v>
      </c>
      <c r="G44" s="708" t="s">
        <v>1199</v>
      </c>
      <c r="H44" s="675"/>
      <c r="I44" s="676"/>
    </row>
    <row r="45" spans="4:9" s="729" customFormat="1" ht="28.5">
      <c r="D45" s="685"/>
      <c r="E45" s="707" t="s">
        <v>1200</v>
      </c>
      <c r="F45" s="674" t="s">
        <v>1201</v>
      </c>
      <c r="G45" s="674" t="s">
        <v>1202</v>
      </c>
      <c r="H45" s="675"/>
      <c r="I45" s="676"/>
    </row>
    <row r="46" spans="4:9">
      <c r="D46" s="688"/>
      <c r="E46" s="709"/>
      <c r="F46" s="662"/>
      <c r="G46" s="662"/>
      <c r="H46" s="666"/>
      <c r="I46" s="662"/>
    </row>
    <row r="47" spans="4:9">
      <c r="D47" s="688"/>
      <c r="E47" s="706" t="s">
        <v>1723</v>
      </c>
      <c r="F47" s="662"/>
      <c r="G47" s="662"/>
      <c r="H47" s="666"/>
      <c r="I47" s="662"/>
    </row>
    <row r="48" spans="4:9">
      <c r="D48" s="688"/>
      <c r="E48" s="706" t="s">
        <v>1203</v>
      </c>
      <c r="F48" s="662"/>
      <c r="G48" s="662"/>
      <c r="H48" s="666"/>
      <c r="I48" s="662"/>
    </row>
    <row r="49" spans="4:9" s="729" customFormat="1">
      <c r="D49" s="685"/>
      <c r="E49" s="707" t="s">
        <v>1204</v>
      </c>
      <c r="F49" s="676"/>
      <c r="G49" s="676"/>
      <c r="H49" s="675"/>
      <c r="I49" s="676"/>
    </row>
    <row r="50" spans="4:9" s="729" customFormat="1">
      <c r="D50" s="676"/>
      <c r="E50" s="707" t="s">
        <v>1205</v>
      </c>
      <c r="F50" s="708" t="s">
        <v>1206</v>
      </c>
      <c r="G50" s="708" t="s">
        <v>1207</v>
      </c>
      <c r="H50" s="675"/>
      <c r="I50" s="676"/>
    </row>
  </sheetData>
  <phoneticPr fontId="15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4:Z67"/>
  <sheetViews>
    <sheetView workbookViewId="0"/>
  </sheetViews>
  <sheetFormatPr defaultRowHeight="14.25"/>
  <cols>
    <col min="1" max="3" width="9" style="657"/>
    <col min="4" max="4" width="7.25" style="657" customWidth="1"/>
    <col min="5" max="5" width="58.875" style="795" customWidth="1"/>
    <col min="6" max="6" width="42.625" style="657" customWidth="1"/>
    <col min="7" max="7" width="46.125" style="657" customWidth="1"/>
    <col min="8" max="8" width="22.75" style="792" customWidth="1"/>
    <col min="9" max="9" width="36.375" style="657" customWidth="1"/>
    <col min="10" max="12" width="9" style="657"/>
    <col min="13" max="13" width="9" style="657" customWidth="1"/>
    <col min="14" max="26" width="9" style="657"/>
  </cols>
  <sheetData>
    <row r="4" spans="4:9">
      <c r="H4" s="657"/>
    </row>
    <row r="5" spans="4:9" ht="16.5">
      <c r="D5" s="658"/>
    </row>
    <row r="6" spans="4:9">
      <c r="D6" s="659"/>
      <c r="E6" s="704" t="s">
        <v>1208</v>
      </c>
      <c r="F6" s="705"/>
      <c r="G6" s="705"/>
      <c r="H6" s="661"/>
      <c r="I6" s="662"/>
    </row>
    <row r="7" spans="4:9">
      <c r="D7" s="659" t="s">
        <v>0</v>
      </c>
      <c r="E7" s="704" t="s">
        <v>2</v>
      </c>
      <c r="F7" s="705" t="s">
        <v>3</v>
      </c>
      <c r="G7" s="661" t="s">
        <v>4</v>
      </c>
      <c r="H7" s="661" t="s">
        <v>744</v>
      </c>
      <c r="I7" s="662" t="s">
        <v>745</v>
      </c>
    </row>
    <row r="8" spans="4:9" ht="78.75" customHeight="1">
      <c r="D8" s="663"/>
      <c r="E8" s="664" t="s">
        <v>1724</v>
      </c>
      <c r="F8" s="710"/>
      <c r="G8" s="705"/>
      <c r="H8" s="666" t="s">
        <v>1046</v>
      </c>
      <c r="I8" s="666" t="s">
        <v>1047</v>
      </c>
    </row>
    <row r="9" spans="4:9" ht="14.25" customHeight="1">
      <c r="D9" s="667"/>
      <c r="E9" s="664" t="s">
        <v>1725</v>
      </c>
      <c r="F9" s="711"/>
      <c r="G9" s="662"/>
      <c r="H9" s="666"/>
      <c r="I9" s="666"/>
    </row>
    <row r="10" spans="4:9">
      <c r="D10" s="667"/>
      <c r="E10" s="669" t="s">
        <v>1209</v>
      </c>
      <c r="F10" s="711"/>
      <c r="G10" s="662"/>
      <c r="H10" s="666"/>
      <c r="I10" s="662"/>
    </row>
    <row r="11" spans="4:9" s="729" customFormat="1">
      <c r="D11" s="671"/>
      <c r="E11" s="672" t="s">
        <v>1210</v>
      </c>
      <c r="F11" s="712" t="s">
        <v>1211</v>
      </c>
      <c r="G11" s="674" t="s">
        <v>1212</v>
      </c>
      <c r="H11" s="674"/>
      <c r="I11" s="674"/>
    </row>
    <row r="12" spans="4:9" s="729" customFormat="1" ht="26.25" customHeight="1">
      <c r="D12" s="671"/>
      <c r="E12" s="672" t="s">
        <v>1213</v>
      </c>
      <c r="F12" s="712" t="s">
        <v>1214</v>
      </c>
      <c r="G12" s="674" t="s">
        <v>1215</v>
      </c>
      <c r="H12" s="675"/>
      <c r="I12" s="676"/>
    </row>
    <row r="13" spans="4:9" s="729" customFormat="1" ht="28.5">
      <c r="D13" s="671"/>
      <c r="E13" s="672" t="s">
        <v>1216</v>
      </c>
      <c r="F13" s="713" t="s">
        <v>1217</v>
      </c>
      <c r="G13" s="674" t="s">
        <v>1218</v>
      </c>
      <c r="H13" s="675"/>
      <c r="I13" s="676"/>
    </row>
    <row r="14" spans="4:9">
      <c r="D14" s="667"/>
      <c r="E14" s="664" t="s">
        <v>1726</v>
      </c>
      <c r="F14" s="711"/>
      <c r="G14" s="662"/>
      <c r="H14" s="666"/>
      <c r="I14" s="662"/>
    </row>
    <row r="15" spans="4:9">
      <c r="D15" s="667"/>
      <c r="E15" s="669" t="s">
        <v>1219</v>
      </c>
      <c r="F15" s="711"/>
      <c r="G15" s="662"/>
      <c r="H15" s="666"/>
      <c r="I15" s="662"/>
    </row>
    <row r="16" spans="4:9" s="729" customFormat="1" ht="28.5">
      <c r="D16" s="671"/>
      <c r="E16" s="672" t="s">
        <v>1220</v>
      </c>
      <c r="F16" s="713" t="s">
        <v>1221</v>
      </c>
      <c r="G16" s="674" t="s">
        <v>1222</v>
      </c>
      <c r="H16" s="675"/>
      <c r="I16" s="676"/>
    </row>
    <row r="17" spans="4:9" s="729" customFormat="1" ht="114">
      <c r="D17" s="671"/>
      <c r="E17" s="672" t="s">
        <v>1223</v>
      </c>
      <c r="F17" s="673" t="s">
        <v>1224</v>
      </c>
      <c r="G17" s="674" t="s">
        <v>1225</v>
      </c>
      <c r="H17" s="675"/>
      <c r="I17" s="676"/>
    </row>
    <row r="18" spans="4:9" s="729" customFormat="1" ht="28.5">
      <c r="D18" s="671"/>
      <c r="E18" s="672" t="s">
        <v>1226</v>
      </c>
      <c r="F18" s="712" t="s">
        <v>1227</v>
      </c>
      <c r="G18" s="674" t="s">
        <v>1228</v>
      </c>
      <c r="H18" s="675"/>
      <c r="I18" s="676"/>
    </row>
    <row r="19" spans="4:9">
      <c r="D19" s="667"/>
      <c r="E19" s="662"/>
      <c r="F19" s="711"/>
      <c r="G19" s="662"/>
      <c r="H19" s="666"/>
      <c r="I19" s="662"/>
    </row>
    <row r="20" spans="4:9">
      <c r="D20" s="667"/>
      <c r="E20" s="664" t="s">
        <v>1727</v>
      </c>
      <c r="F20" s="711"/>
      <c r="G20" s="662"/>
      <c r="H20" s="666"/>
      <c r="I20" s="662"/>
    </row>
    <row r="21" spans="4:9">
      <c r="D21" s="667"/>
      <c r="E21" s="669" t="s">
        <v>1229</v>
      </c>
      <c r="F21" s="711"/>
      <c r="G21" s="662"/>
      <c r="H21" s="666"/>
      <c r="I21" s="662"/>
    </row>
    <row r="22" spans="4:9" s="729" customFormat="1" ht="114">
      <c r="D22" s="671"/>
      <c r="E22" s="672" t="s">
        <v>1230</v>
      </c>
      <c r="F22" s="673" t="s">
        <v>1231</v>
      </c>
      <c r="G22" s="674" t="s">
        <v>1232</v>
      </c>
      <c r="H22" s="675"/>
      <c r="I22" s="676"/>
    </row>
    <row r="23" spans="4:9" s="729" customFormat="1" ht="57">
      <c r="D23" s="671"/>
      <c r="E23" s="672" t="s">
        <v>1233</v>
      </c>
      <c r="F23" s="673" t="s">
        <v>1234</v>
      </c>
      <c r="G23" s="674" t="s">
        <v>1235</v>
      </c>
      <c r="H23" s="675"/>
      <c r="I23" s="676"/>
    </row>
    <row r="24" spans="4:9" s="729" customFormat="1" ht="42.75">
      <c r="D24" s="671"/>
      <c r="E24" s="672" t="s">
        <v>1236</v>
      </c>
      <c r="F24" s="673" t="s">
        <v>1237</v>
      </c>
      <c r="G24" s="674" t="s">
        <v>1238</v>
      </c>
      <c r="H24" s="675"/>
      <c r="I24" s="676"/>
    </row>
    <row r="25" spans="4:9" ht="27" customHeight="1">
      <c r="D25" s="667"/>
      <c r="E25" s="662"/>
      <c r="F25" s="711"/>
      <c r="G25" s="662"/>
      <c r="H25" s="666"/>
      <c r="I25" s="662"/>
    </row>
    <row r="26" spans="4:9">
      <c r="D26" s="667"/>
      <c r="E26" s="664" t="s">
        <v>1728</v>
      </c>
      <c r="F26" s="711"/>
      <c r="G26" s="662"/>
      <c r="H26" s="666"/>
      <c r="I26" s="662"/>
    </row>
    <row r="27" spans="4:9">
      <c r="D27" s="667"/>
      <c r="E27" s="669" t="s">
        <v>1239</v>
      </c>
      <c r="F27" s="711"/>
      <c r="G27" s="662"/>
      <c r="H27" s="666"/>
      <c r="I27" s="662"/>
    </row>
    <row r="28" spans="4:9" s="729" customFormat="1" ht="99.75">
      <c r="D28" s="671"/>
      <c r="E28" s="672" t="s">
        <v>1240</v>
      </c>
      <c r="F28" s="673" t="s">
        <v>1241</v>
      </c>
      <c r="G28" s="714" t="s">
        <v>1242</v>
      </c>
      <c r="H28" s="675"/>
      <c r="I28" s="676"/>
    </row>
    <row r="29" spans="4:9" s="729" customFormat="1" ht="28.5">
      <c r="D29" s="671"/>
      <c r="E29" s="672" t="s">
        <v>1243</v>
      </c>
      <c r="F29" s="673" t="s">
        <v>1244</v>
      </c>
      <c r="G29" s="674" t="s">
        <v>1245</v>
      </c>
      <c r="H29" s="675"/>
      <c r="I29" s="676"/>
    </row>
    <row r="30" spans="4:9" s="729" customFormat="1" ht="114">
      <c r="D30" s="671"/>
      <c r="E30" s="672" t="s">
        <v>1246</v>
      </c>
      <c r="F30" s="713" t="s">
        <v>1247</v>
      </c>
      <c r="G30" s="674" t="s">
        <v>1248</v>
      </c>
      <c r="H30" s="675"/>
      <c r="I30" s="676"/>
    </row>
    <row r="31" spans="4:9">
      <c r="D31" s="667"/>
      <c r="E31" s="662"/>
      <c r="F31" s="711"/>
      <c r="G31" s="662"/>
      <c r="H31" s="666"/>
      <c r="I31" s="662"/>
    </row>
    <row r="32" spans="4:9">
      <c r="D32" s="667"/>
      <c r="E32" s="664" t="s">
        <v>1729</v>
      </c>
      <c r="F32" s="711"/>
      <c r="G32" s="662"/>
      <c r="H32" s="666"/>
      <c r="I32" s="662"/>
    </row>
    <row r="33" spans="4:9">
      <c r="D33" s="667"/>
      <c r="E33" s="669" t="s">
        <v>1249</v>
      </c>
      <c r="F33" s="711"/>
      <c r="G33" s="662"/>
      <c r="H33" s="666"/>
      <c r="I33" s="662"/>
    </row>
    <row r="34" spans="4:9" s="729" customFormat="1" ht="28.5">
      <c r="D34" s="671"/>
      <c r="E34" s="672" t="s">
        <v>1250</v>
      </c>
      <c r="F34" s="715" t="s">
        <v>1251</v>
      </c>
      <c r="G34" s="674" t="s">
        <v>1252</v>
      </c>
      <c r="H34" s="675"/>
      <c r="I34" s="676"/>
    </row>
    <row r="35" spans="4:9" s="729" customFormat="1" ht="28.5">
      <c r="D35" s="671"/>
      <c r="E35" s="672" t="s">
        <v>1253</v>
      </c>
      <c r="F35" s="673" t="s">
        <v>1254</v>
      </c>
      <c r="G35" s="674" t="s">
        <v>1255</v>
      </c>
      <c r="H35" s="675"/>
      <c r="I35" s="676"/>
    </row>
    <row r="36" spans="4:9" s="729" customFormat="1" ht="114">
      <c r="D36" s="671"/>
      <c r="E36" s="672" t="s">
        <v>1256</v>
      </c>
      <c r="F36" s="673" t="s">
        <v>1257</v>
      </c>
      <c r="G36" s="674" t="s">
        <v>1258</v>
      </c>
      <c r="H36" s="675"/>
      <c r="I36" s="676"/>
    </row>
    <row r="37" spans="4:9">
      <c r="D37" s="667"/>
      <c r="E37" s="662"/>
      <c r="F37" s="711"/>
      <c r="G37" s="662"/>
      <c r="H37" s="666"/>
      <c r="I37" s="662"/>
    </row>
    <row r="38" spans="4:9">
      <c r="D38" s="667"/>
      <c r="E38" s="664" t="s">
        <v>1730</v>
      </c>
      <c r="F38" s="711"/>
      <c r="G38" s="662"/>
      <c r="H38" s="666"/>
      <c r="I38" s="662"/>
    </row>
    <row r="39" spans="4:9">
      <c r="D39" s="667"/>
      <c r="E39" s="669" t="s">
        <v>1259</v>
      </c>
      <c r="F39" s="711"/>
      <c r="G39" s="662"/>
      <c r="H39" s="666"/>
      <c r="I39" s="662"/>
    </row>
    <row r="40" spans="4:9" s="729" customFormat="1" ht="28.5">
      <c r="D40" s="671"/>
      <c r="E40" s="672" t="s">
        <v>1260</v>
      </c>
      <c r="F40" s="673" t="s">
        <v>1261</v>
      </c>
      <c r="G40" s="674" t="s">
        <v>1262</v>
      </c>
      <c r="H40" s="675"/>
      <c r="I40" s="676"/>
    </row>
    <row r="41" spans="4:9" s="729" customFormat="1" ht="114">
      <c r="D41" s="671"/>
      <c r="E41" s="672" t="s">
        <v>1263</v>
      </c>
      <c r="F41" s="673" t="s">
        <v>1264</v>
      </c>
      <c r="G41" s="674" t="s">
        <v>1265</v>
      </c>
      <c r="H41" s="675"/>
      <c r="I41" s="676"/>
    </row>
    <row r="42" spans="4:9" s="729" customFormat="1" ht="28.5">
      <c r="D42" s="671"/>
      <c r="E42" s="672" t="s">
        <v>1266</v>
      </c>
      <c r="F42" s="673" t="s">
        <v>1267</v>
      </c>
      <c r="G42" s="674" t="s">
        <v>1268</v>
      </c>
      <c r="H42" s="675"/>
      <c r="I42" s="676"/>
    </row>
    <row r="43" spans="4:9">
      <c r="D43" s="667"/>
      <c r="E43" s="662"/>
      <c r="F43" s="711"/>
      <c r="G43" s="662"/>
      <c r="H43" s="666"/>
      <c r="I43" s="662"/>
    </row>
    <row r="44" spans="4:9">
      <c r="D44" s="667"/>
      <c r="E44" s="664" t="s">
        <v>1731</v>
      </c>
      <c r="F44" s="711"/>
      <c r="G44" s="662"/>
      <c r="H44" s="666"/>
      <c r="I44" s="662"/>
    </row>
    <row r="45" spans="4:9">
      <c r="D45" s="667"/>
      <c r="E45" s="669" t="s">
        <v>1269</v>
      </c>
      <c r="F45" s="711"/>
      <c r="G45" s="662"/>
      <c r="H45" s="666"/>
      <c r="I45" s="662"/>
    </row>
    <row r="46" spans="4:9" s="729" customFormat="1" ht="114">
      <c r="D46" s="671"/>
      <c r="E46" s="672" t="s">
        <v>1270</v>
      </c>
      <c r="F46" s="673" t="s">
        <v>1271</v>
      </c>
      <c r="G46" s="674" t="s">
        <v>1272</v>
      </c>
      <c r="H46" s="675"/>
      <c r="I46" s="676"/>
    </row>
    <row r="47" spans="4:9" s="729" customFormat="1" ht="57">
      <c r="D47" s="671"/>
      <c r="E47" s="672" t="s">
        <v>1273</v>
      </c>
      <c r="F47" s="712" t="s">
        <v>1274</v>
      </c>
      <c r="G47" s="674" t="s">
        <v>1275</v>
      </c>
      <c r="H47" s="675"/>
      <c r="I47" s="676"/>
    </row>
    <row r="48" spans="4:9" s="729" customFormat="1" ht="28.5">
      <c r="D48" s="671"/>
      <c r="E48" s="672" t="s">
        <v>1276</v>
      </c>
      <c r="F48" s="673" t="s">
        <v>1277</v>
      </c>
      <c r="G48" s="674" t="s">
        <v>1278</v>
      </c>
      <c r="H48" s="675"/>
      <c r="I48" s="676"/>
    </row>
    <row r="49" spans="4:9">
      <c r="D49" s="667"/>
      <c r="E49" s="662"/>
      <c r="F49" s="711"/>
      <c r="G49" s="662"/>
      <c r="H49" s="666"/>
      <c r="I49" s="662"/>
    </row>
    <row r="50" spans="4:9">
      <c r="D50" s="667"/>
      <c r="E50" s="664" t="s">
        <v>1732</v>
      </c>
      <c r="F50" s="711"/>
      <c r="G50" s="662"/>
      <c r="H50" s="666"/>
      <c r="I50" s="662"/>
    </row>
    <row r="51" spans="4:9">
      <c r="D51" s="667"/>
      <c r="E51" s="669" t="s">
        <v>1279</v>
      </c>
      <c r="F51" s="711"/>
      <c r="G51" s="662"/>
      <c r="H51" s="666"/>
      <c r="I51" s="662"/>
    </row>
    <row r="52" spans="4:9" s="729" customFormat="1" ht="114">
      <c r="D52" s="671"/>
      <c r="E52" s="672" t="s">
        <v>1280</v>
      </c>
      <c r="F52" s="673" t="s">
        <v>1281</v>
      </c>
      <c r="G52" s="674" t="s">
        <v>1282</v>
      </c>
      <c r="H52" s="675"/>
      <c r="I52" s="676"/>
    </row>
    <row r="53" spans="4:9" s="729" customFormat="1" ht="28.5">
      <c r="D53" s="671"/>
      <c r="E53" s="672" t="s">
        <v>1283</v>
      </c>
      <c r="F53" s="716" t="s">
        <v>1284</v>
      </c>
      <c r="G53" s="674" t="s">
        <v>1285</v>
      </c>
      <c r="H53" s="675"/>
      <c r="I53" s="676"/>
    </row>
    <row r="54" spans="4:9" s="729" customFormat="1" ht="28.5">
      <c r="D54" s="671"/>
      <c r="E54" s="672" t="s">
        <v>1286</v>
      </c>
      <c r="F54" s="712" t="s">
        <v>1287</v>
      </c>
      <c r="G54" s="674" t="s">
        <v>1288</v>
      </c>
      <c r="H54" s="675"/>
      <c r="I54" s="676"/>
    </row>
    <row r="55" spans="4:9">
      <c r="D55" s="667"/>
      <c r="E55" s="662"/>
      <c r="F55" s="711"/>
      <c r="G55" s="662"/>
      <c r="H55" s="666"/>
      <c r="I55" s="662"/>
    </row>
    <row r="56" spans="4:9">
      <c r="D56" s="667"/>
      <c r="E56" s="664" t="s">
        <v>1733</v>
      </c>
      <c r="F56" s="711"/>
      <c r="G56" s="662"/>
      <c r="H56" s="666"/>
      <c r="I56" s="662"/>
    </row>
    <row r="57" spans="4:9">
      <c r="D57" s="667"/>
      <c r="E57" s="669" t="s">
        <v>1289</v>
      </c>
      <c r="F57" s="711"/>
      <c r="G57" s="662"/>
      <c r="H57" s="666"/>
      <c r="I57" s="662"/>
    </row>
    <row r="58" spans="4:9" s="729" customFormat="1" ht="114">
      <c r="D58" s="671"/>
      <c r="E58" s="672" t="s">
        <v>1290</v>
      </c>
      <c r="F58" s="673" t="s">
        <v>1291</v>
      </c>
      <c r="G58" s="674" t="s">
        <v>1292</v>
      </c>
      <c r="H58" s="675"/>
      <c r="I58" s="676"/>
    </row>
    <row r="59" spans="4:9" s="729" customFormat="1" ht="28.5">
      <c r="D59" s="671"/>
      <c r="E59" s="672" t="s">
        <v>1293</v>
      </c>
      <c r="F59" s="673" t="s">
        <v>1294</v>
      </c>
      <c r="G59" s="674" t="s">
        <v>1295</v>
      </c>
      <c r="H59" s="675"/>
      <c r="I59" s="676"/>
    </row>
    <row r="60" spans="4:9" s="729" customFormat="1" ht="71.25">
      <c r="D60" s="671"/>
      <c r="E60" s="672" t="s">
        <v>1296</v>
      </c>
      <c r="F60" s="673" t="s">
        <v>1297</v>
      </c>
      <c r="G60" s="674" t="s">
        <v>1298</v>
      </c>
      <c r="H60" s="675"/>
      <c r="I60" s="676"/>
    </row>
    <row r="61" spans="4:9">
      <c r="D61" s="667"/>
      <c r="E61" s="662"/>
      <c r="F61" s="711"/>
      <c r="G61" s="662"/>
      <c r="H61" s="666"/>
      <c r="I61" s="662"/>
    </row>
    <row r="62" spans="4:9">
      <c r="D62" s="667"/>
      <c r="E62" s="664" t="s">
        <v>1734</v>
      </c>
      <c r="F62" s="711"/>
      <c r="G62" s="662"/>
      <c r="H62" s="666"/>
      <c r="I62" s="662"/>
    </row>
    <row r="63" spans="4:9">
      <c r="D63" s="667"/>
      <c r="E63" s="669" t="s">
        <v>1299</v>
      </c>
      <c r="F63" s="711"/>
      <c r="G63" s="662"/>
      <c r="H63" s="666"/>
      <c r="I63" s="662"/>
    </row>
    <row r="64" spans="4:9" s="729" customFormat="1" ht="28.5">
      <c r="D64" s="671"/>
      <c r="E64" s="672" t="s">
        <v>1300</v>
      </c>
      <c r="F64" s="713" t="s">
        <v>1301</v>
      </c>
      <c r="G64" s="674" t="s">
        <v>1302</v>
      </c>
      <c r="H64" s="675"/>
      <c r="I64" s="676"/>
    </row>
    <row r="65" spans="4:9" s="729" customFormat="1" ht="114">
      <c r="D65" s="671"/>
      <c r="E65" s="672" t="s">
        <v>1303</v>
      </c>
      <c r="F65" s="673" t="s">
        <v>1304</v>
      </c>
      <c r="G65" s="674" t="s">
        <v>1305</v>
      </c>
      <c r="H65" s="675"/>
      <c r="I65" s="676"/>
    </row>
    <row r="66" spans="4:9" s="729" customFormat="1" ht="57">
      <c r="D66" s="671"/>
      <c r="E66" s="672" t="s">
        <v>1306</v>
      </c>
      <c r="F66" s="673" t="s">
        <v>1307</v>
      </c>
      <c r="G66" s="674" t="s">
        <v>1308</v>
      </c>
      <c r="H66" s="675"/>
      <c r="I66" s="676"/>
    </row>
    <row r="67" spans="4:9">
      <c r="D67" s="662"/>
      <c r="E67" s="706"/>
      <c r="F67" s="662"/>
      <c r="G67" s="662"/>
      <c r="H67" s="666"/>
      <c r="I67" s="662"/>
    </row>
  </sheetData>
  <phoneticPr fontId="15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4:Z67"/>
  <sheetViews>
    <sheetView workbookViewId="0"/>
  </sheetViews>
  <sheetFormatPr defaultRowHeight="14.25"/>
  <cols>
    <col min="1" max="3" width="9" style="657"/>
    <col min="4" max="4" width="7.25" style="657" customWidth="1"/>
    <col min="5" max="5" width="69.375" style="791" customWidth="1"/>
    <col min="6" max="6" width="25.5" style="792" customWidth="1"/>
    <col min="7" max="7" width="42.625" style="792" customWidth="1"/>
    <col min="8" max="8" width="22.75" style="792" customWidth="1"/>
    <col min="9" max="9" width="36.375" style="657" customWidth="1"/>
    <col min="10" max="12" width="9" style="657"/>
    <col min="13" max="13" width="9" style="657" customWidth="1"/>
    <col min="14" max="26" width="9" style="657"/>
  </cols>
  <sheetData>
    <row r="4" spans="4:9">
      <c r="H4" s="657"/>
    </row>
    <row r="5" spans="4:9" ht="16.5">
      <c r="D5" s="658"/>
    </row>
    <row r="6" spans="4:9">
      <c r="D6" s="659"/>
      <c r="E6" s="660" t="s">
        <v>1309</v>
      </c>
      <c r="F6" s="661"/>
      <c r="G6" s="661"/>
      <c r="H6" s="661"/>
      <c r="I6" s="662"/>
    </row>
    <row r="7" spans="4:9">
      <c r="D7" s="659" t="s">
        <v>0</v>
      </c>
      <c r="E7" s="660" t="s">
        <v>2</v>
      </c>
      <c r="F7" s="661" t="s">
        <v>3</v>
      </c>
      <c r="G7" s="661" t="s">
        <v>4</v>
      </c>
      <c r="H7" s="661" t="s">
        <v>744</v>
      </c>
      <c r="I7" s="662" t="s">
        <v>745</v>
      </c>
    </row>
    <row r="8" spans="4:9" ht="78.75" customHeight="1">
      <c r="D8" s="663"/>
      <c r="E8" s="717" t="s">
        <v>1735</v>
      </c>
      <c r="F8" s="665"/>
      <c r="G8" s="661"/>
      <c r="H8" s="666" t="s">
        <v>798</v>
      </c>
      <c r="I8" s="666" t="s">
        <v>1047</v>
      </c>
    </row>
    <row r="9" spans="4:9" ht="14.25" customHeight="1">
      <c r="D9" s="667"/>
      <c r="E9" s="717" t="s">
        <v>1736</v>
      </c>
      <c r="F9" s="668"/>
      <c r="G9" s="666"/>
      <c r="H9" s="666"/>
      <c r="I9" s="666"/>
    </row>
    <row r="10" spans="4:9">
      <c r="D10" s="667"/>
      <c r="E10" s="718" t="s">
        <v>1310</v>
      </c>
      <c r="F10" s="668"/>
      <c r="G10" s="666"/>
      <c r="H10" s="666"/>
      <c r="I10" s="662"/>
    </row>
    <row r="11" spans="4:9">
      <c r="D11" s="667"/>
      <c r="E11" s="718" t="s">
        <v>1311</v>
      </c>
      <c r="F11" s="668"/>
      <c r="G11" s="666"/>
      <c r="H11" s="666"/>
      <c r="I11" s="662"/>
    </row>
    <row r="12" spans="4:9" s="729" customFormat="1" ht="57">
      <c r="D12" s="671"/>
      <c r="E12" s="719" t="s">
        <v>1312</v>
      </c>
      <c r="F12" s="673" t="s">
        <v>1313</v>
      </c>
      <c r="G12" s="674" t="s">
        <v>1314</v>
      </c>
      <c r="H12" s="675"/>
      <c r="I12" s="676"/>
    </row>
    <row r="13" spans="4:9" s="729" customFormat="1" ht="85.5">
      <c r="D13" s="671"/>
      <c r="E13" s="719" t="s">
        <v>1315</v>
      </c>
      <c r="F13" s="673" t="s">
        <v>1316</v>
      </c>
      <c r="G13" s="674" t="s">
        <v>1317</v>
      </c>
      <c r="H13" s="675"/>
      <c r="I13" s="676"/>
    </row>
    <row r="14" spans="4:9" s="729" customFormat="1" ht="71.25">
      <c r="D14" s="671"/>
      <c r="E14" s="719" t="s">
        <v>1318</v>
      </c>
      <c r="F14" s="673" t="s">
        <v>1319</v>
      </c>
      <c r="G14" s="674" t="s">
        <v>1320</v>
      </c>
      <c r="H14" s="675"/>
      <c r="I14" s="676"/>
    </row>
    <row r="15" spans="4:9">
      <c r="D15" s="667"/>
      <c r="E15" s="666"/>
      <c r="F15" s="668"/>
      <c r="G15" s="666"/>
      <c r="H15" s="666"/>
      <c r="I15" s="662"/>
    </row>
    <row r="16" spans="4:9">
      <c r="D16" s="667"/>
      <c r="E16" s="717" t="s">
        <v>1737</v>
      </c>
      <c r="F16" s="668"/>
      <c r="G16" s="666"/>
      <c r="H16" s="666"/>
      <c r="I16" s="662"/>
    </row>
    <row r="17" spans="4:9">
      <c r="D17" s="667"/>
      <c r="E17" s="718" t="s">
        <v>1321</v>
      </c>
      <c r="F17" s="668"/>
      <c r="G17" s="666"/>
      <c r="H17" s="666"/>
      <c r="I17" s="662"/>
    </row>
    <row r="18" spans="4:9">
      <c r="D18" s="667"/>
      <c r="E18" s="718" t="s">
        <v>1311</v>
      </c>
      <c r="F18" s="668"/>
      <c r="G18" s="666"/>
      <c r="H18" s="666"/>
      <c r="I18" s="662"/>
    </row>
    <row r="19" spans="4:9" s="729" customFormat="1" ht="71.25">
      <c r="D19" s="671"/>
      <c r="E19" s="719" t="s">
        <v>1322</v>
      </c>
      <c r="F19" s="673" t="s">
        <v>1323</v>
      </c>
      <c r="G19" s="674" t="s">
        <v>1324</v>
      </c>
      <c r="H19" s="675"/>
      <c r="I19" s="676"/>
    </row>
    <row r="20" spans="4:9" s="729" customFormat="1" ht="71.25">
      <c r="D20" s="671"/>
      <c r="E20" s="719" t="s">
        <v>1325</v>
      </c>
      <c r="F20" s="673" t="s">
        <v>1326</v>
      </c>
      <c r="G20" s="674" t="s">
        <v>1327</v>
      </c>
      <c r="H20" s="675"/>
      <c r="I20" s="676"/>
    </row>
    <row r="21" spans="4:9">
      <c r="D21" s="667"/>
      <c r="E21" s="666"/>
      <c r="F21" s="668"/>
      <c r="G21" s="666"/>
      <c r="H21" s="666"/>
      <c r="I21" s="662"/>
    </row>
    <row r="22" spans="4:9">
      <c r="D22" s="667"/>
      <c r="E22" s="717" t="s">
        <v>1738</v>
      </c>
      <c r="F22" s="668"/>
      <c r="G22" s="666"/>
      <c r="H22" s="666"/>
      <c r="I22" s="662"/>
    </row>
    <row r="23" spans="4:9">
      <c r="D23" s="667"/>
      <c r="E23" s="718" t="s">
        <v>1328</v>
      </c>
      <c r="F23" s="668"/>
      <c r="G23" s="666"/>
      <c r="H23" s="666"/>
      <c r="I23" s="662"/>
    </row>
    <row r="24" spans="4:9">
      <c r="D24" s="667"/>
      <c r="E24" s="718" t="s">
        <v>1311</v>
      </c>
      <c r="F24" s="668"/>
      <c r="G24" s="666"/>
      <c r="H24" s="666"/>
      <c r="I24" s="662"/>
    </row>
    <row r="25" spans="4:9" s="729" customFormat="1" ht="89.25" customHeight="1">
      <c r="D25" s="671"/>
      <c r="E25" s="719" t="s">
        <v>1329</v>
      </c>
      <c r="F25" s="673" t="s">
        <v>1330</v>
      </c>
      <c r="G25" s="674" t="s">
        <v>1331</v>
      </c>
      <c r="H25" s="675"/>
      <c r="I25" s="676" t="s">
        <v>1332</v>
      </c>
    </row>
    <row r="26" spans="4:9" s="729" customFormat="1" ht="114">
      <c r="D26" s="671"/>
      <c r="E26" s="719" t="s">
        <v>1333</v>
      </c>
      <c r="F26" s="673" t="s">
        <v>1334</v>
      </c>
      <c r="G26" s="674" t="s">
        <v>1335</v>
      </c>
      <c r="H26" s="675"/>
      <c r="I26" s="676" t="s">
        <v>1332</v>
      </c>
    </row>
    <row r="27" spans="4:9">
      <c r="D27" s="667"/>
      <c r="E27" s="666"/>
      <c r="F27" s="668"/>
      <c r="G27" s="666"/>
      <c r="H27" s="666"/>
      <c r="I27" s="662"/>
    </row>
    <row r="28" spans="4:9">
      <c r="D28" s="667"/>
      <c r="E28" s="717" t="s">
        <v>1739</v>
      </c>
      <c r="F28" s="668"/>
      <c r="G28" s="666"/>
      <c r="H28" s="666"/>
      <c r="I28" s="662"/>
    </row>
    <row r="29" spans="4:9">
      <c r="D29" s="667"/>
      <c r="E29" s="718" t="s">
        <v>1336</v>
      </c>
      <c r="F29" s="668"/>
      <c r="G29" s="666"/>
      <c r="H29" s="666"/>
      <c r="I29" s="662"/>
    </row>
    <row r="30" spans="4:9">
      <c r="D30" s="667"/>
      <c r="E30" s="718" t="s">
        <v>1311</v>
      </c>
      <c r="F30" s="668"/>
      <c r="G30" s="666"/>
      <c r="H30" s="666"/>
      <c r="I30" s="662"/>
    </row>
    <row r="31" spans="4:9" s="729" customFormat="1" ht="71.25">
      <c r="D31" s="671"/>
      <c r="E31" s="719" t="s">
        <v>1337</v>
      </c>
      <c r="F31" s="673" t="s">
        <v>1338</v>
      </c>
      <c r="G31" s="674" t="s">
        <v>1339</v>
      </c>
      <c r="H31" s="675"/>
      <c r="I31" s="676" t="s">
        <v>38</v>
      </c>
    </row>
    <row r="32" spans="4:9" s="729" customFormat="1" ht="71.25">
      <c r="D32" s="671"/>
      <c r="E32" s="719" t="s">
        <v>1340</v>
      </c>
      <c r="F32" s="673" t="s">
        <v>1341</v>
      </c>
      <c r="G32" s="674" t="s">
        <v>1342</v>
      </c>
      <c r="H32" s="675"/>
      <c r="I32" s="676" t="s">
        <v>1332</v>
      </c>
    </row>
    <row r="33" spans="4:9">
      <c r="D33" s="667"/>
      <c r="E33" s="666"/>
      <c r="F33" s="668"/>
      <c r="G33" s="666"/>
      <c r="H33" s="666"/>
      <c r="I33" s="662"/>
    </row>
    <row r="34" spans="4:9">
      <c r="D34" s="667"/>
      <c r="E34" s="717" t="s">
        <v>1740</v>
      </c>
      <c r="F34" s="668"/>
      <c r="G34" s="666"/>
      <c r="H34" s="666"/>
      <c r="I34" s="662"/>
    </row>
    <row r="35" spans="4:9">
      <c r="D35" s="667"/>
      <c r="E35" s="718" t="s">
        <v>1343</v>
      </c>
      <c r="F35" s="668"/>
      <c r="G35" s="666"/>
      <c r="H35" s="666"/>
      <c r="I35" s="662"/>
    </row>
    <row r="36" spans="4:9">
      <c r="D36" s="667"/>
      <c r="E36" s="718" t="s">
        <v>1311</v>
      </c>
      <c r="F36" s="668"/>
      <c r="G36" s="666"/>
      <c r="H36" s="666"/>
      <c r="I36" s="662"/>
    </row>
    <row r="37" spans="4:9" s="729" customFormat="1" ht="99.75">
      <c r="D37" s="671"/>
      <c r="E37" s="719" t="s">
        <v>1344</v>
      </c>
      <c r="F37" s="673" t="s">
        <v>1345</v>
      </c>
      <c r="G37" s="674" t="s">
        <v>1346</v>
      </c>
      <c r="H37" s="675"/>
      <c r="I37" s="676"/>
    </row>
    <row r="38" spans="4:9" s="729" customFormat="1" ht="71.25">
      <c r="D38" s="671"/>
      <c r="E38" s="719" t="s">
        <v>1347</v>
      </c>
      <c r="F38" s="673" t="s">
        <v>1348</v>
      </c>
      <c r="G38" s="674" t="s">
        <v>1349</v>
      </c>
      <c r="H38" s="675"/>
      <c r="I38" s="676"/>
    </row>
    <row r="39" spans="4:9">
      <c r="D39" s="667"/>
      <c r="E39" s="718"/>
      <c r="F39" s="668"/>
      <c r="G39" s="666"/>
      <c r="H39" s="666"/>
      <c r="I39" s="662"/>
    </row>
    <row r="40" spans="4:9" s="729" customFormat="1">
      <c r="D40" s="671"/>
      <c r="E40" s="719"/>
      <c r="F40" s="677"/>
      <c r="G40" s="675"/>
      <c r="H40" s="675"/>
      <c r="I40" s="676"/>
    </row>
    <row r="41" spans="4:9" s="729" customFormat="1">
      <c r="D41" s="671"/>
      <c r="E41" s="719"/>
      <c r="F41" s="677"/>
      <c r="G41" s="675"/>
      <c r="H41" s="675"/>
      <c r="I41" s="676"/>
    </row>
    <row r="42" spans="4:9" s="729" customFormat="1">
      <c r="D42" s="671"/>
      <c r="E42" s="719"/>
      <c r="F42" s="677"/>
      <c r="G42" s="675"/>
      <c r="H42" s="675"/>
      <c r="I42" s="676"/>
    </row>
    <row r="43" spans="4:9">
      <c r="D43" s="667"/>
      <c r="E43" s="666"/>
      <c r="F43" s="668"/>
      <c r="G43" s="666"/>
      <c r="H43" s="666"/>
      <c r="I43" s="662"/>
    </row>
    <row r="44" spans="4:9">
      <c r="D44" s="667"/>
      <c r="E44" s="717"/>
      <c r="F44" s="668"/>
      <c r="G44" s="666"/>
      <c r="H44" s="666"/>
      <c r="I44" s="662"/>
    </row>
    <row r="45" spans="4:9">
      <c r="D45" s="667"/>
      <c r="E45" s="718"/>
      <c r="F45" s="668"/>
      <c r="G45" s="666"/>
      <c r="H45" s="666"/>
      <c r="I45" s="662"/>
    </row>
    <row r="46" spans="4:9" s="729" customFormat="1">
      <c r="D46" s="671"/>
      <c r="E46" s="719"/>
      <c r="F46" s="677"/>
      <c r="G46" s="675"/>
      <c r="H46" s="675"/>
      <c r="I46" s="676"/>
    </row>
    <row r="47" spans="4:9" s="729" customFormat="1">
      <c r="D47" s="671"/>
      <c r="E47" s="719"/>
      <c r="F47" s="677"/>
      <c r="G47" s="675"/>
      <c r="H47" s="675"/>
      <c r="I47" s="676"/>
    </row>
    <row r="48" spans="4:9" s="729" customFormat="1">
      <c r="D48" s="671"/>
      <c r="E48" s="719"/>
      <c r="F48" s="677"/>
      <c r="G48" s="675"/>
      <c r="H48" s="675"/>
      <c r="I48" s="676"/>
    </row>
    <row r="49" spans="4:9" s="729" customFormat="1">
      <c r="D49" s="671"/>
      <c r="E49" s="675"/>
      <c r="F49" s="677"/>
      <c r="G49" s="675"/>
      <c r="H49" s="675"/>
      <c r="I49" s="676"/>
    </row>
    <row r="50" spans="4:9">
      <c r="D50" s="667"/>
      <c r="E50" s="717"/>
      <c r="F50" s="668"/>
      <c r="G50" s="666"/>
      <c r="H50" s="666"/>
      <c r="I50" s="662"/>
    </row>
    <row r="51" spans="4:9">
      <c r="D51" s="667"/>
      <c r="E51" s="718"/>
      <c r="F51" s="668"/>
      <c r="G51" s="666"/>
      <c r="H51" s="666"/>
      <c r="I51" s="662"/>
    </row>
    <row r="52" spans="4:9" s="729" customFormat="1">
      <c r="D52" s="671"/>
      <c r="E52" s="719"/>
      <c r="F52" s="677"/>
      <c r="G52" s="675"/>
      <c r="H52" s="675"/>
      <c r="I52" s="676"/>
    </row>
    <row r="53" spans="4:9" s="729" customFormat="1">
      <c r="D53" s="671"/>
      <c r="E53" s="719"/>
      <c r="F53" s="677"/>
      <c r="G53" s="675"/>
      <c r="H53" s="675"/>
      <c r="I53" s="676"/>
    </row>
    <row r="54" spans="4:9" s="729" customFormat="1">
      <c r="D54" s="671"/>
      <c r="E54" s="719"/>
      <c r="F54" s="677"/>
      <c r="G54" s="675"/>
      <c r="H54" s="675"/>
      <c r="I54" s="676"/>
    </row>
    <row r="55" spans="4:9">
      <c r="D55" s="667"/>
      <c r="E55" s="666"/>
      <c r="F55" s="668"/>
      <c r="G55" s="666"/>
      <c r="H55" s="666"/>
      <c r="I55" s="662"/>
    </row>
    <row r="56" spans="4:9">
      <c r="D56" s="667"/>
      <c r="E56" s="717"/>
      <c r="F56" s="668"/>
      <c r="G56" s="666"/>
      <c r="H56" s="666"/>
      <c r="I56" s="662"/>
    </row>
    <row r="57" spans="4:9">
      <c r="D57" s="667"/>
      <c r="E57" s="718"/>
      <c r="F57" s="668"/>
      <c r="G57" s="666"/>
      <c r="H57" s="666"/>
      <c r="I57" s="662"/>
    </row>
    <row r="58" spans="4:9" s="729" customFormat="1">
      <c r="D58" s="671"/>
      <c r="E58" s="719"/>
      <c r="F58" s="677"/>
      <c r="G58" s="675"/>
      <c r="H58" s="675"/>
      <c r="I58" s="676"/>
    </row>
    <row r="59" spans="4:9" s="729" customFormat="1">
      <c r="D59" s="671"/>
      <c r="E59" s="719"/>
      <c r="F59" s="677"/>
      <c r="G59" s="675"/>
      <c r="H59" s="675"/>
      <c r="I59" s="676"/>
    </row>
    <row r="60" spans="4:9" s="729" customFormat="1">
      <c r="D60" s="671"/>
      <c r="E60" s="719"/>
      <c r="F60" s="677"/>
      <c r="G60" s="675"/>
      <c r="H60" s="675"/>
      <c r="I60" s="676"/>
    </row>
    <row r="61" spans="4:9">
      <c r="D61" s="667"/>
      <c r="E61" s="666"/>
      <c r="F61" s="668"/>
      <c r="G61" s="666"/>
      <c r="H61" s="666"/>
      <c r="I61" s="662"/>
    </row>
    <row r="62" spans="4:9">
      <c r="D62" s="667"/>
      <c r="E62" s="717"/>
      <c r="F62" s="668"/>
      <c r="G62" s="666"/>
      <c r="H62" s="666"/>
      <c r="I62" s="662"/>
    </row>
    <row r="63" spans="4:9">
      <c r="D63" s="667"/>
      <c r="E63" s="718"/>
      <c r="F63" s="668"/>
      <c r="G63" s="666"/>
      <c r="H63" s="666"/>
      <c r="I63" s="662"/>
    </row>
    <row r="64" spans="4:9" s="729" customFormat="1">
      <c r="D64" s="671"/>
      <c r="E64" s="719"/>
      <c r="F64" s="677"/>
      <c r="G64" s="675"/>
      <c r="H64" s="675"/>
      <c r="I64" s="676"/>
    </row>
    <row r="65" spans="4:9" s="729" customFormat="1">
      <c r="D65" s="671"/>
      <c r="E65" s="719"/>
      <c r="F65" s="677"/>
      <c r="G65" s="675"/>
      <c r="H65" s="675"/>
      <c r="I65" s="676"/>
    </row>
    <row r="66" spans="4:9" s="729" customFormat="1">
      <c r="D66" s="671"/>
      <c r="E66" s="719"/>
      <c r="F66" s="677"/>
      <c r="G66" s="675"/>
      <c r="H66" s="675"/>
      <c r="I66" s="676"/>
    </row>
    <row r="67" spans="4:9">
      <c r="D67" s="662"/>
      <c r="E67" s="720"/>
      <c r="F67" s="666"/>
      <c r="G67" s="666"/>
      <c r="H67" s="666"/>
      <c r="I67" s="662"/>
    </row>
  </sheetData>
  <phoneticPr fontId="15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4:Z67"/>
  <sheetViews>
    <sheetView workbookViewId="0"/>
  </sheetViews>
  <sheetFormatPr defaultRowHeight="14.25"/>
  <cols>
    <col min="1" max="3" width="9" style="657"/>
    <col min="4" max="4" width="7.25" style="657" customWidth="1"/>
    <col min="5" max="5" width="69.375" style="791" customWidth="1"/>
    <col min="6" max="6" width="25.5" style="792" customWidth="1"/>
    <col min="7" max="7" width="42.625" style="792" customWidth="1"/>
    <col min="8" max="8" width="22.75" style="792" customWidth="1"/>
    <col min="9" max="9" width="36.375" style="657" customWidth="1"/>
    <col min="10" max="12" width="9" style="657"/>
    <col min="13" max="13" width="9" style="657" customWidth="1"/>
    <col min="14" max="26" width="9" style="657"/>
  </cols>
  <sheetData>
    <row r="4" spans="4:9">
      <c r="H4" s="657"/>
    </row>
    <row r="5" spans="4:9" ht="16.5">
      <c r="D5" s="658"/>
    </row>
    <row r="6" spans="4:9">
      <c r="D6" s="659"/>
      <c r="E6" s="660" t="s">
        <v>1309</v>
      </c>
      <c r="F6" s="661"/>
      <c r="G6" s="661"/>
      <c r="H6" s="661"/>
      <c r="I6" s="662"/>
    </row>
    <row r="7" spans="4:9">
      <c r="D7" s="659" t="s">
        <v>0</v>
      </c>
      <c r="E7" s="660" t="s">
        <v>2</v>
      </c>
      <c r="F7" s="661" t="s">
        <v>3</v>
      </c>
      <c r="G7" s="661" t="s">
        <v>4</v>
      </c>
      <c r="H7" s="661" t="s">
        <v>744</v>
      </c>
      <c r="I7" s="662" t="s">
        <v>745</v>
      </c>
    </row>
    <row r="8" spans="4:9" ht="78.75" customHeight="1">
      <c r="D8" s="663"/>
      <c r="E8" s="717" t="s">
        <v>1735</v>
      </c>
      <c r="F8" s="665"/>
      <c r="G8" s="661"/>
      <c r="H8" s="666" t="s">
        <v>798</v>
      </c>
      <c r="I8" s="666" t="s">
        <v>1047</v>
      </c>
    </row>
    <row r="9" spans="4:9" ht="14.25" customHeight="1">
      <c r="D9" s="667"/>
      <c r="E9" s="717" t="s">
        <v>1741</v>
      </c>
      <c r="F9" s="668"/>
      <c r="G9" s="666"/>
      <c r="H9" s="666"/>
      <c r="I9" s="666"/>
    </row>
    <row r="10" spans="4:9">
      <c r="D10" s="667"/>
      <c r="E10" s="718" t="s">
        <v>1310</v>
      </c>
      <c r="F10" s="668"/>
      <c r="G10" s="666"/>
      <c r="H10" s="666"/>
      <c r="I10" s="662"/>
    </row>
    <row r="11" spans="4:9">
      <c r="D11" s="667"/>
      <c r="E11" s="718" t="s">
        <v>1311</v>
      </c>
      <c r="F11" s="668"/>
      <c r="G11" s="666"/>
      <c r="H11" s="666"/>
      <c r="I11" s="662"/>
    </row>
    <row r="12" spans="4:9" s="729" customFormat="1" ht="57">
      <c r="D12" s="671"/>
      <c r="E12" s="719" t="s">
        <v>1312</v>
      </c>
      <c r="F12" s="673" t="s">
        <v>1313</v>
      </c>
      <c r="G12" s="674" t="s">
        <v>1350</v>
      </c>
      <c r="H12" s="675"/>
      <c r="I12" s="676"/>
    </row>
    <row r="13" spans="4:9" s="729" customFormat="1" ht="71.25">
      <c r="D13" s="671"/>
      <c r="E13" s="719" t="s">
        <v>1315</v>
      </c>
      <c r="F13" s="673" t="s">
        <v>1316</v>
      </c>
      <c r="G13" s="674" t="s">
        <v>1351</v>
      </c>
      <c r="H13" s="675"/>
      <c r="I13" s="676"/>
    </row>
    <row r="14" spans="4:9" s="729" customFormat="1" ht="71.25">
      <c r="D14" s="671"/>
      <c r="E14" s="719" t="s">
        <v>1318</v>
      </c>
      <c r="F14" s="673" t="s">
        <v>1319</v>
      </c>
      <c r="G14" s="674" t="s">
        <v>1352</v>
      </c>
      <c r="H14" s="675"/>
      <c r="I14" s="676"/>
    </row>
    <row r="15" spans="4:9">
      <c r="D15" s="667"/>
      <c r="E15" s="666"/>
      <c r="F15" s="668"/>
      <c r="G15" s="666"/>
      <c r="H15" s="666"/>
      <c r="I15" s="662"/>
    </row>
    <row r="16" spans="4:9">
      <c r="D16" s="667"/>
      <c r="E16" s="717" t="s">
        <v>1737</v>
      </c>
      <c r="F16" s="668"/>
      <c r="G16" s="666"/>
      <c r="H16" s="666"/>
      <c r="I16" s="662"/>
    </row>
    <row r="17" spans="4:9">
      <c r="D17" s="667"/>
      <c r="E17" s="718" t="s">
        <v>1321</v>
      </c>
      <c r="F17" s="668"/>
      <c r="G17" s="666"/>
      <c r="H17" s="666"/>
      <c r="I17" s="662"/>
    </row>
    <row r="18" spans="4:9">
      <c r="D18" s="667"/>
      <c r="E18" s="718" t="s">
        <v>1311</v>
      </c>
      <c r="F18" s="668"/>
      <c r="G18" s="666"/>
      <c r="H18" s="666"/>
      <c r="I18" s="662"/>
    </row>
    <row r="19" spans="4:9" s="729" customFormat="1" ht="71.25">
      <c r="D19" s="671"/>
      <c r="E19" s="719" t="s">
        <v>1322</v>
      </c>
      <c r="F19" s="673" t="s">
        <v>1323</v>
      </c>
      <c r="G19" s="674" t="s">
        <v>1324</v>
      </c>
      <c r="H19" s="675"/>
      <c r="I19" s="676"/>
    </row>
    <row r="20" spans="4:9" s="729" customFormat="1" ht="71.25">
      <c r="D20" s="671"/>
      <c r="E20" s="719" t="s">
        <v>1325</v>
      </c>
      <c r="F20" s="673" t="s">
        <v>1326</v>
      </c>
      <c r="G20" s="674" t="s">
        <v>1327</v>
      </c>
      <c r="H20" s="675"/>
      <c r="I20" s="676"/>
    </row>
    <row r="21" spans="4:9">
      <c r="D21" s="667"/>
      <c r="E21" s="666"/>
      <c r="F21" s="668"/>
      <c r="G21" s="666"/>
      <c r="H21" s="666"/>
      <c r="I21" s="662"/>
    </row>
    <row r="22" spans="4:9">
      <c r="D22" s="667"/>
      <c r="E22" s="717" t="s">
        <v>1738</v>
      </c>
      <c r="F22" s="668"/>
      <c r="G22" s="666"/>
      <c r="H22" s="666"/>
      <c r="I22" s="662"/>
    </row>
    <row r="23" spans="4:9">
      <c r="D23" s="667"/>
      <c r="E23" s="718" t="s">
        <v>1328</v>
      </c>
      <c r="F23" s="668"/>
      <c r="G23" s="666"/>
      <c r="H23" s="666"/>
      <c r="I23" s="662"/>
    </row>
    <row r="24" spans="4:9">
      <c r="D24" s="667"/>
      <c r="E24" s="718" t="s">
        <v>1311</v>
      </c>
      <c r="F24" s="668"/>
      <c r="G24" s="666"/>
      <c r="H24" s="666"/>
      <c r="I24" s="662"/>
    </row>
    <row r="25" spans="4:9" s="729" customFormat="1" ht="89.25" customHeight="1">
      <c r="D25" s="671"/>
      <c r="E25" s="719" t="s">
        <v>1329</v>
      </c>
      <c r="F25" s="673" t="s">
        <v>1330</v>
      </c>
      <c r="G25" s="674" t="s">
        <v>1331</v>
      </c>
      <c r="H25" s="675"/>
      <c r="I25" s="676" t="s">
        <v>1332</v>
      </c>
    </row>
    <row r="26" spans="4:9" s="729" customFormat="1" ht="114">
      <c r="D26" s="671"/>
      <c r="E26" s="719" t="s">
        <v>1333</v>
      </c>
      <c r="F26" s="673" t="s">
        <v>1334</v>
      </c>
      <c r="G26" s="674" t="s">
        <v>1335</v>
      </c>
      <c r="H26" s="675"/>
      <c r="I26" s="676" t="s">
        <v>1332</v>
      </c>
    </row>
    <row r="27" spans="4:9">
      <c r="D27" s="667"/>
      <c r="E27" s="666"/>
      <c r="F27" s="668"/>
      <c r="G27" s="666"/>
      <c r="H27" s="666"/>
      <c r="I27" s="662"/>
    </row>
    <row r="28" spans="4:9">
      <c r="D28" s="667"/>
      <c r="E28" s="717" t="s">
        <v>1739</v>
      </c>
      <c r="F28" s="668"/>
      <c r="G28" s="666"/>
      <c r="H28" s="666"/>
      <c r="I28" s="662"/>
    </row>
    <row r="29" spans="4:9">
      <c r="D29" s="667"/>
      <c r="E29" s="718" t="s">
        <v>1336</v>
      </c>
      <c r="F29" s="668"/>
      <c r="G29" s="666"/>
      <c r="H29" s="666"/>
      <c r="I29" s="662"/>
    </row>
    <row r="30" spans="4:9">
      <c r="D30" s="667"/>
      <c r="E30" s="718" t="s">
        <v>1311</v>
      </c>
      <c r="F30" s="668"/>
      <c r="G30" s="666"/>
      <c r="H30" s="666"/>
      <c r="I30" s="662"/>
    </row>
    <row r="31" spans="4:9" s="729" customFormat="1" ht="71.25">
      <c r="D31" s="671"/>
      <c r="E31" s="719" t="s">
        <v>1337</v>
      </c>
      <c r="F31" s="673" t="s">
        <v>1338</v>
      </c>
      <c r="G31" s="674" t="s">
        <v>1339</v>
      </c>
      <c r="H31" s="675"/>
      <c r="I31" s="676"/>
    </row>
    <row r="32" spans="4:9" s="729" customFormat="1" ht="71.25">
      <c r="D32" s="671"/>
      <c r="E32" s="719" t="s">
        <v>1340</v>
      </c>
      <c r="F32" s="673" t="s">
        <v>1341</v>
      </c>
      <c r="G32" s="674" t="s">
        <v>1342</v>
      </c>
      <c r="H32" s="675"/>
      <c r="I32" s="676" t="s">
        <v>1332</v>
      </c>
    </row>
    <row r="33" spans="4:9">
      <c r="D33" s="667"/>
      <c r="E33" s="666"/>
      <c r="F33" s="668"/>
      <c r="G33" s="666"/>
      <c r="H33" s="666"/>
      <c r="I33" s="662"/>
    </row>
    <row r="34" spans="4:9">
      <c r="D34" s="667"/>
      <c r="E34" s="717" t="s">
        <v>1740</v>
      </c>
      <c r="F34" s="668"/>
      <c r="G34" s="666"/>
      <c r="H34" s="666"/>
      <c r="I34" s="662"/>
    </row>
    <row r="35" spans="4:9">
      <c r="D35" s="667"/>
      <c r="E35" s="718" t="s">
        <v>1343</v>
      </c>
      <c r="F35" s="668"/>
      <c r="G35" s="666"/>
      <c r="H35" s="666"/>
      <c r="I35" s="662"/>
    </row>
    <row r="36" spans="4:9">
      <c r="D36" s="667"/>
      <c r="E36" s="718" t="s">
        <v>1311</v>
      </c>
      <c r="F36" s="668"/>
      <c r="G36" s="666"/>
      <c r="H36" s="666"/>
      <c r="I36" s="662"/>
    </row>
    <row r="37" spans="4:9" s="729" customFormat="1" ht="99.75">
      <c r="D37" s="671"/>
      <c r="E37" s="719" t="s">
        <v>1344</v>
      </c>
      <c r="F37" s="673" t="s">
        <v>1345</v>
      </c>
      <c r="G37" s="674" t="s">
        <v>1353</v>
      </c>
      <c r="H37" s="675"/>
      <c r="I37" s="676"/>
    </row>
    <row r="38" spans="4:9" s="729" customFormat="1" ht="71.25">
      <c r="D38" s="671"/>
      <c r="E38" s="719" t="s">
        <v>1347</v>
      </c>
      <c r="F38" s="673" t="s">
        <v>1348</v>
      </c>
      <c r="G38" s="674" t="s">
        <v>1349</v>
      </c>
      <c r="H38" s="675"/>
      <c r="I38" s="676"/>
    </row>
    <row r="39" spans="4:9">
      <c r="D39" s="667"/>
      <c r="E39" s="718"/>
      <c r="F39" s="668"/>
      <c r="G39" s="666"/>
      <c r="H39" s="666"/>
      <c r="I39" s="662"/>
    </row>
    <row r="40" spans="4:9" s="729" customFormat="1">
      <c r="D40" s="671"/>
      <c r="E40" s="719"/>
      <c r="F40" s="677"/>
      <c r="G40" s="675"/>
      <c r="H40" s="675"/>
      <c r="I40" s="676"/>
    </row>
    <row r="41" spans="4:9" s="729" customFormat="1">
      <c r="D41" s="671"/>
      <c r="E41" s="719"/>
      <c r="F41" s="677"/>
      <c r="G41" s="675"/>
      <c r="H41" s="675"/>
      <c r="I41" s="676"/>
    </row>
    <row r="42" spans="4:9" s="729" customFormat="1">
      <c r="D42" s="671"/>
      <c r="E42" s="719"/>
      <c r="F42" s="677"/>
      <c r="G42" s="675"/>
      <c r="H42" s="675"/>
      <c r="I42" s="676"/>
    </row>
    <row r="43" spans="4:9">
      <c r="D43" s="667"/>
      <c r="E43" s="666"/>
      <c r="F43" s="668"/>
      <c r="G43" s="666"/>
      <c r="H43" s="666"/>
      <c r="I43" s="662"/>
    </row>
    <row r="44" spans="4:9">
      <c r="D44" s="667"/>
      <c r="E44" s="717"/>
      <c r="F44" s="668"/>
      <c r="G44" s="666"/>
      <c r="H44" s="666"/>
      <c r="I44" s="662"/>
    </row>
    <row r="45" spans="4:9">
      <c r="D45" s="667"/>
      <c r="E45" s="718"/>
      <c r="F45" s="668"/>
      <c r="G45" s="666"/>
      <c r="H45" s="666"/>
      <c r="I45" s="662"/>
    </row>
    <row r="46" spans="4:9" s="729" customFormat="1">
      <c r="D46" s="671"/>
      <c r="E46" s="719"/>
      <c r="F46" s="677"/>
      <c r="G46" s="675"/>
      <c r="H46" s="675"/>
      <c r="I46" s="676"/>
    </row>
    <row r="47" spans="4:9" s="729" customFormat="1">
      <c r="D47" s="671"/>
      <c r="E47" s="719"/>
      <c r="F47" s="677"/>
      <c r="G47" s="675"/>
      <c r="H47" s="675"/>
      <c r="I47" s="676"/>
    </row>
    <row r="48" spans="4:9" s="729" customFormat="1">
      <c r="D48" s="671"/>
      <c r="E48" s="719"/>
      <c r="F48" s="677"/>
      <c r="G48" s="675"/>
      <c r="H48" s="675"/>
      <c r="I48" s="676"/>
    </row>
    <row r="49" spans="4:9" s="729" customFormat="1">
      <c r="D49" s="671"/>
      <c r="E49" s="675"/>
      <c r="F49" s="677"/>
      <c r="G49" s="675"/>
      <c r="H49" s="675"/>
      <c r="I49" s="676"/>
    </row>
    <row r="50" spans="4:9">
      <c r="D50" s="667"/>
      <c r="E50" s="717"/>
      <c r="F50" s="668"/>
      <c r="G50" s="666"/>
      <c r="H50" s="666"/>
      <c r="I50" s="662"/>
    </row>
    <row r="51" spans="4:9">
      <c r="D51" s="667"/>
      <c r="E51" s="718"/>
      <c r="F51" s="668"/>
      <c r="G51" s="666"/>
      <c r="H51" s="666"/>
      <c r="I51" s="662"/>
    </row>
    <row r="52" spans="4:9" s="729" customFormat="1">
      <c r="D52" s="671"/>
      <c r="E52" s="719"/>
      <c r="F52" s="677"/>
      <c r="G52" s="675"/>
      <c r="H52" s="675"/>
      <c r="I52" s="676"/>
    </row>
    <row r="53" spans="4:9" s="729" customFormat="1">
      <c r="D53" s="671"/>
      <c r="E53" s="719"/>
      <c r="F53" s="677"/>
      <c r="G53" s="675"/>
      <c r="H53" s="675"/>
      <c r="I53" s="676"/>
    </row>
    <row r="54" spans="4:9" s="729" customFormat="1">
      <c r="D54" s="671"/>
      <c r="E54" s="719"/>
      <c r="F54" s="677"/>
      <c r="G54" s="675"/>
      <c r="H54" s="675"/>
      <c r="I54" s="676"/>
    </row>
    <row r="55" spans="4:9">
      <c r="D55" s="667"/>
      <c r="E55" s="666"/>
      <c r="F55" s="668"/>
      <c r="G55" s="666"/>
      <c r="H55" s="666"/>
      <c r="I55" s="662"/>
    </row>
    <row r="56" spans="4:9">
      <c r="D56" s="667"/>
      <c r="E56" s="717"/>
      <c r="F56" s="668"/>
      <c r="G56" s="666"/>
      <c r="H56" s="666"/>
      <c r="I56" s="662"/>
    </row>
    <row r="57" spans="4:9">
      <c r="D57" s="667"/>
      <c r="E57" s="718"/>
      <c r="F57" s="668"/>
      <c r="G57" s="666"/>
      <c r="H57" s="666"/>
      <c r="I57" s="662"/>
    </row>
    <row r="58" spans="4:9" s="729" customFormat="1">
      <c r="D58" s="671"/>
      <c r="E58" s="719"/>
      <c r="F58" s="677"/>
      <c r="G58" s="675"/>
      <c r="H58" s="675"/>
      <c r="I58" s="676"/>
    </row>
    <row r="59" spans="4:9" s="729" customFormat="1">
      <c r="D59" s="671"/>
      <c r="E59" s="719"/>
      <c r="F59" s="677"/>
      <c r="G59" s="675"/>
      <c r="H59" s="675"/>
      <c r="I59" s="676"/>
    </row>
    <row r="60" spans="4:9" s="729" customFormat="1">
      <c r="D60" s="671"/>
      <c r="E60" s="719"/>
      <c r="F60" s="677"/>
      <c r="G60" s="675"/>
      <c r="H60" s="675"/>
      <c r="I60" s="676"/>
    </row>
    <row r="61" spans="4:9">
      <c r="D61" s="667"/>
      <c r="E61" s="666"/>
      <c r="F61" s="668"/>
      <c r="G61" s="666"/>
      <c r="H61" s="666"/>
      <c r="I61" s="662"/>
    </row>
    <row r="62" spans="4:9">
      <c r="D62" s="667"/>
      <c r="E62" s="717"/>
      <c r="F62" s="668"/>
      <c r="G62" s="666"/>
      <c r="H62" s="666"/>
      <c r="I62" s="662"/>
    </row>
    <row r="63" spans="4:9">
      <c r="D63" s="667"/>
      <c r="E63" s="718"/>
      <c r="F63" s="668"/>
      <c r="G63" s="666"/>
      <c r="H63" s="666"/>
      <c r="I63" s="662"/>
    </row>
    <row r="64" spans="4:9" s="729" customFormat="1">
      <c r="D64" s="671"/>
      <c r="E64" s="719"/>
      <c r="F64" s="677"/>
      <c r="G64" s="675"/>
      <c r="H64" s="675"/>
      <c r="I64" s="676"/>
    </row>
    <row r="65" spans="4:9" s="729" customFormat="1">
      <c r="D65" s="671"/>
      <c r="E65" s="719"/>
      <c r="F65" s="677"/>
      <c r="G65" s="675"/>
      <c r="H65" s="675"/>
      <c r="I65" s="676"/>
    </row>
    <row r="66" spans="4:9" s="729" customFormat="1">
      <c r="D66" s="671"/>
      <c r="E66" s="719"/>
      <c r="F66" s="677"/>
      <c r="G66" s="675"/>
      <c r="H66" s="675"/>
      <c r="I66" s="676"/>
    </row>
    <row r="67" spans="4:9">
      <c r="D67" s="662"/>
      <c r="E67" s="720"/>
      <c r="F67" s="666"/>
      <c r="G67" s="666"/>
      <c r="H67" s="666"/>
      <c r="I67" s="662"/>
    </row>
  </sheetData>
  <phoneticPr fontId="15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4:I53"/>
  <sheetViews>
    <sheetView topLeftCell="A6" workbookViewId="0"/>
  </sheetViews>
  <sheetFormatPr defaultRowHeight="14.25"/>
  <cols>
    <col min="4" max="4" width="7.25" customWidth="1"/>
    <col min="5" max="5" width="63.375" customWidth="1"/>
    <col min="6" max="6" width="32.125" customWidth="1"/>
    <col min="7" max="7" width="72.125" customWidth="1"/>
    <col min="8" max="8" width="14.875" style="794" customWidth="1"/>
    <col min="9" max="9" width="36.375" customWidth="1"/>
    <col min="13" max="13" width="9" customWidth="1"/>
  </cols>
  <sheetData>
    <row r="4" spans="4:9" ht="16.5">
      <c r="D4" s="678"/>
    </row>
    <row r="6" spans="4:9">
      <c r="D6" s="6"/>
      <c r="E6" s="385" t="s">
        <v>1354</v>
      </c>
      <c r="F6" s="385"/>
      <c r="G6" s="385"/>
      <c r="H6" s="680"/>
      <c r="I6" s="681"/>
    </row>
    <row r="7" spans="4:9">
      <c r="D7" s="6" t="s">
        <v>0</v>
      </c>
      <c r="E7" s="385" t="s">
        <v>2</v>
      </c>
      <c r="F7" s="385" t="s">
        <v>3</v>
      </c>
      <c r="G7" s="680" t="s">
        <v>4</v>
      </c>
      <c r="H7" s="680" t="s">
        <v>744</v>
      </c>
      <c r="I7" s="681" t="s">
        <v>745</v>
      </c>
    </row>
    <row r="8" spans="4:9" ht="71.25">
      <c r="D8" s="6"/>
      <c r="E8" s="683" t="s">
        <v>1355</v>
      </c>
      <c r="F8" s="385"/>
      <c r="G8" s="385"/>
      <c r="H8" s="683" t="s">
        <v>1356</v>
      </c>
      <c r="I8" s="666" t="s">
        <v>1047</v>
      </c>
    </row>
    <row r="9" spans="4:9">
      <c r="D9" s="684"/>
      <c r="E9" s="721" t="s">
        <v>1742</v>
      </c>
      <c r="F9" s="681"/>
      <c r="G9" s="681"/>
      <c r="H9" s="683"/>
      <c r="I9" s="683"/>
    </row>
    <row r="10" spans="4:9">
      <c r="D10" s="684"/>
      <c r="E10" s="682" t="s">
        <v>1357</v>
      </c>
      <c r="F10" s="681"/>
      <c r="G10" s="681"/>
      <c r="H10" s="683"/>
      <c r="I10" s="681"/>
    </row>
    <row r="11" spans="4:9">
      <c r="D11" s="684"/>
      <c r="E11" s="682" t="s">
        <v>1116</v>
      </c>
      <c r="F11" s="681"/>
      <c r="G11" s="681"/>
      <c r="H11" s="683"/>
      <c r="I11" s="681"/>
    </row>
    <row r="12" spans="4:9" s="729" customFormat="1" ht="38.25" customHeight="1">
      <c r="D12" s="685"/>
      <c r="E12" s="722" t="s">
        <v>1743</v>
      </c>
      <c r="F12" s="708" t="s">
        <v>1358</v>
      </c>
      <c r="G12" s="674" t="s">
        <v>1359</v>
      </c>
      <c r="H12" s="674" t="s">
        <v>1356</v>
      </c>
      <c r="I12" s="676"/>
    </row>
    <row r="13" spans="4:9" s="729" customFormat="1" ht="57">
      <c r="D13" s="685"/>
      <c r="E13" s="723" t="s">
        <v>1744</v>
      </c>
      <c r="F13" s="674" t="s">
        <v>1360</v>
      </c>
      <c r="G13" s="674" t="s">
        <v>1361</v>
      </c>
      <c r="H13" s="675" t="s">
        <v>1362</v>
      </c>
      <c r="I13" s="676"/>
    </row>
    <row r="14" spans="4:9" s="729" customFormat="1">
      <c r="D14" s="685"/>
      <c r="E14" s="722" t="s">
        <v>1745</v>
      </c>
      <c r="F14" s="674" t="s">
        <v>1363</v>
      </c>
      <c r="G14" s="674"/>
      <c r="H14" s="675"/>
      <c r="I14" s="676"/>
    </row>
    <row r="15" spans="4:9">
      <c r="D15" s="684"/>
      <c r="E15" s="721" t="s">
        <v>1746</v>
      </c>
      <c r="F15" s="681"/>
      <c r="G15" s="681"/>
      <c r="H15" s="683"/>
      <c r="I15" s="662"/>
    </row>
    <row r="16" spans="4:9">
      <c r="D16" s="684"/>
      <c r="E16" s="682" t="s">
        <v>1364</v>
      </c>
      <c r="F16" s="681"/>
      <c r="G16" s="681"/>
      <c r="H16" s="683"/>
      <c r="I16" s="662"/>
    </row>
    <row r="17" spans="4:9">
      <c r="D17" s="684"/>
      <c r="E17" s="682" t="s">
        <v>1116</v>
      </c>
      <c r="F17" s="681"/>
      <c r="G17" s="681"/>
      <c r="H17" s="683"/>
      <c r="I17" s="662"/>
    </row>
    <row r="18" spans="4:9" s="729" customFormat="1" ht="256.5">
      <c r="D18" s="685"/>
      <c r="E18" s="722" t="s">
        <v>1747</v>
      </c>
      <c r="F18" s="674" t="s">
        <v>1365</v>
      </c>
      <c r="G18" s="674" t="s">
        <v>1366</v>
      </c>
      <c r="H18" s="675"/>
      <c r="I18" s="676"/>
    </row>
    <row r="19" spans="4:9" s="729" customFormat="1" ht="71.25">
      <c r="D19" s="685"/>
      <c r="E19" s="722" t="s">
        <v>1748</v>
      </c>
      <c r="F19" s="708" t="s">
        <v>1367</v>
      </c>
      <c r="G19" s="674" t="s">
        <v>1368</v>
      </c>
      <c r="H19" s="675"/>
      <c r="I19" s="676"/>
    </row>
    <row r="20" spans="4:9">
      <c r="D20" s="684"/>
      <c r="E20" s="721" t="s">
        <v>1749</v>
      </c>
      <c r="F20" s="681"/>
      <c r="G20" s="681"/>
      <c r="H20" s="683"/>
      <c r="I20" s="681"/>
    </row>
    <row r="21" spans="4:9">
      <c r="D21" s="684"/>
      <c r="E21" s="682" t="s">
        <v>1369</v>
      </c>
      <c r="F21" s="681"/>
      <c r="G21" s="681"/>
      <c r="H21" s="683"/>
      <c r="I21" s="681"/>
    </row>
    <row r="22" spans="4:9">
      <c r="D22" s="684"/>
      <c r="E22" s="682" t="s">
        <v>1370</v>
      </c>
      <c r="F22" s="681"/>
      <c r="G22" s="681"/>
      <c r="H22" s="683"/>
      <c r="I22" s="676"/>
    </row>
    <row r="23" spans="4:9" s="729" customFormat="1" ht="57">
      <c r="D23" s="685"/>
      <c r="E23" s="722" t="s">
        <v>1750</v>
      </c>
      <c r="F23" s="708" t="s">
        <v>1371</v>
      </c>
      <c r="G23" s="674" t="s">
        <v>1372</v>
      </c>
      <c r="H23" s="675"/>
      <c r="I23" s="676"/>
    </row>
    <row r="24" spans="4:9" s="729" customFormat="1" ht="65.25" customHeight="1">
      <c r="D24" s="685"/>
      <c r="E24" s="722" t="s">
        <v>1751</v>
      </c>
      <c r="F24" s="708" t="s">
        <v>1373</v>
      </c>
      <c r="G24" s="674" t="s">
        <v>1374</v>
      </c>
      <c r="H24" s="675"/>
      <c r="I24" s="676"/>
    </row>
    <row r="25" spans="4:9" s="729" customFormat="1">
      <c r="D25" s="685"/>
      <c r="E25" s="722" t="s">
        <v>1752</v>
      </c>
      <c r="F25" s="708" t="s">
        <v>1375</v>
      </c>
      <c r="G25" s="708" t="s">
        <v>1376</v>
      </c>
      <c r="H25" s="675"/>
      <c r="I25" s="681"/>
    </row>
    <row r="26" spans="4:9">
      <c r="D26" s="684"/>
      <c r="E26" s="721" t="s">
        <v>1753</v>
      </c>
      <c r="F26" s="681"/>
      <c r="G26" s="681"/>
      <c r="H26" s="683"/>
      <c r="I26" s="662"/>
    </row>
    <row r="27" spans="4:9">
      <c r="D27" s="684"/>
      <c r="E27" s="682" t="s">
        <v>1377</v>
      </c>
      <c r="F27" s="681"/>
      <c r="G27" s="681"/>
      <c r="H27" s="683"/>
      <c r="I27" s="662"/>
    </row>
    <row r="28" spans="4:9">
      <c r="D28" s="684"/>
      <c r="E28" s="682" t="s">
        <v>1370</v>
      </c>
      <c r="F28" s="681"/>
      <c r="G28" s="681"/>
      <c r="H28" s="683"/>
      <c r="I28" s="676"/>
    </row>
    <row r="29" spans="4:9" s="729" customFormat="1">
      <c r="D29" s="685"/>
      <c r="E29" s="722" t="s">
        <v>1754</v>
      </c>
      <c r="F29" s="676"/>
      <c r="G29" s="708" t="s">
        <v>1378</v>
      </c>
      <c r="H29" s="675"/>
      <c r="I29" s="676"/>
    </row>
    <row r="30" spans="4:9" s="729" customFormat="1">
      <c r="D30" s="685"/>
      <c r="E30" s="722" t="s">
        <v>1755</v>
      </c>
      <c r="F30" s="676"/>
      <c r="G30" s="708" t="s">
        <v>1379</v>
      </c>
      <c r="H30" s="675"/>
      <c r="I30" s="676"/>
    </row>
    <row r="31" spans="4:9" s="729" customFormat="1" ht="57">
      <c r="D31" s="685"/>
      <c r="E31" s="722" t="s">
        <v>1756</v>
      </c>
      <c r="F31" s="674" t="s">
        <v>1380</v>
      </c>
      <c r="G31" s="674" t="s">
        <v>1381</v>
      </c>
      <c r="H31" s="675"/>
      <c r="I31" s="681"/>
    </row>
    <row r="32" spans="4:9">
      <c r="D32" s="684"/>
      <c r="E32" s="721" t="s">
        <v>1757</v>
      </c>
      <c r="F32" s="681"/>
      <c r="G32" s="681"/>
      <c r="H32" s="683"/>
      <c r="I32" s="681"/>
    </row>
    <row r="33" spans="4:9">
      <c r="D33" s="684"/>
      <c r="E33" s="682" t="s">
        <v>1382</v>
      </c>
      <c r="F33" s="681"/>
      <c r="G33" s="681"/>
      <c r="H33" s="683"/>
      <c r="I33" s="662"/>
    </row>
    <row r="34" spans="4:9">
      <c r="D34" s="684"/>
      <c r="E34" s="682" t="s">
        <v>1116</v>
      </c>
      <c r="F34" s="681"/>
      <c r="G34" s="681"/>
      <c r="H34" s="683"/>
      <c r="I34" s="676"/>
    </row>
    <row r="35" spans="4:9" s="729" customFormat="1" ht="28.5">
      <c r="D35" s="685"/>
      <c r="E35" s="722" t="s">
        <v>1758</v>
      </c>
      <c r="F35" s="674" t="s">
        <v>1383</v>
      </c>
      <c r="G35" s="708" t="s">
        <v>1384</v>
      </c>
      <c r="H35" s="675"/>
      <c r="I35" s="676"/>
    </row>
    <row r="36" spans="4:9" s="729" customFormat="1" ht="28.5">
      <c r="D36" s="685"/>
      <c r="E36" s="722" t="s">
        <v>1759</v>
      </c>
      <c r="F36" s="708"/>
      <c r="G36" s="674" t="s">
        <v>1385</v>
      </c>
      <c r="H36" s="675"/>
      <c r="I36" s="676"/>
    </row>
    <row r="37" spans="4:9" s="729" customFormat="1" ht="28.5">
      <c r="D37" s="685"/>
      <c r="E37" s="722" t="s">
        <v>1760</v>
      </c>
      <c r="F37" s="674" t="s">
        <v>1386</v>
      </c>
      <c r="G37" s="724" t="s">
        <v>1387</v>
      </c>
      <c r="H37" s="675"/>
      <c r="I37" s="681"/>
    </row>
    <row r="38" spans="4:9">
      <c r="D38" s="684"/>
      <c r="E38" s="721" t="s">
        <v>1761</v>
      </c>
      <c r="F38" s="681"/>
      <c r="H38" s="683"/>
      <c r="I38" s="681"/>
    </row>
    <row r="39" spans="4:9" s="657" customFormat="1">
      <c r="D39" s="688"/>
      <c r="E39" s="689" t="s">
        <v>1388</v>
      </c>
      <c r="F39" s="662"/>
      <c r="G39" s="662"/>
      <c r="H39" s="666"/>
      <c r="I39" s="681"/>
    </row>
    <row r="40" spans="4:9">
      <c r="D40" s="684"/>
      <c r="E40" s="682" t="s">
        <v>1116</v>
      </c>
      <c r="F40" s="725" t="s">
        <v>3</v>
      </c>
      <c r="G40" s="725" t="s">
        <v>1389</v>
      </c>
      <c r="H40" s="683"/>
      <c r="I40" s="676"/>
    </row>
    <row r="41" spans="4:9" s="729" customFormat="1" ht="28.5">
      <c r="D41" s="685"/>
      <c r="E41" s="722" t="s">
        <v>1762</v>
      </c>
      <c r="F41" s="674" t="s">
        <v>1390</v>
      </c>
      <c r="G41" s="674" t="s">
        <v>1391</v>
      </c>
      <c r="H41" s="675"/>
      <c r="I41" s="676"/>
    </row>
    <row r="42" spans="4:9" s="729" customFormat="1" ht="28.5">
      <c r="D42" s="685"/>
      <c r="E42" s="722" t="s">
        <v>1763</v>
      </c>
      <c r="F42" s="674" t="s">
        <v>1392</v>
      </c>
      <c r="G42" s="674" t="s">
        <v>1393</v>
      </c>
      <c r="H42" s="675"/>
      <c r="I42" s="676"/>
    </row>
    <row r="43" spans="4:9" s="729" customFormat="1" ht="42.75">
      <c r="D43" s="685"/>
      <c r="E43" s="722" t="s">
        <v>1764</v>
      </c>
      <c r="F43" s="674" t="s">
        <v>1394</v>
      </c>
      <c r="G43" s="674" t="s">
        <v>1395</v>
      </c>
      <c r="H43" s="675"/>
      <c r="I43" s="681"/>
    </row>
    <row r="44" spans="4:9">
      <c r="D44" s="684"/>
      <c r="E44" s="683"/>
      <c r="F44" s="681"/>
      <c r="G44" s="681"/>
      <c r="H44" s="683"/>
      <c r="I44" s="681"/>
    </row>
    <row r="45" spans="4:9">
      <c r="D45" s="684"/>
      <c r="E45" s="683"/>
      <c r="F45" s="681"/>
      <c r="G45" s="681"/>
      <c r="H45" s="683"/>
      <c r="I45" s="676"/>
    </row>
    <row r="46" spans="4:9">
      <c r="D46" s="684"/>
      <c r="E46" s="683"/>
      <c r="F46" s="681"/>
      <c r="G46" s="681"/>
      <c r="H46" s="683"/>
      <c r="I46" s="676"/>
    </row>
    <row r="47" spans="4:9">
      <c r="D47" s="684"/>
      <c r="E47" s="681"/>
      <c r="F47" s="681"/>
      <c r="G47" s="681"/>
      <c r="H47" s="683"/>
      <c r="I47" s="676"/>
    </row>
    <row r="48" spans="4:9">
      <c r="D48" s="684"/>
      <c r="E48" s="681"/>
      <c r="F48" s="681"/>
      <c r="G48" s="681"/>
      <c r="H48" s="683"/>
      <c r="I48" s="681"/>
    </row>
    <row r="49" spans="9:9">
      <c r="I49" s="681"/>
    </row>
    <row r="50" spans="9:9">
      <c r="I50" s="681"/>
    </row>
    <row r="51" spans="9:9">
      <c r="I51" s="676"/>
    </row>
    <row r="52" spans="9:9">
      <c r="I52" s="676"/>
    </row>
    <row r="53" spans="9:9">
      <c r="I53" s="676"/>
    </row>
  </sheetData>
  <phoneticPr fontId="15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4:Z51"/>
  <sheetViews>
    <sheetView workbookViewId="0"/>
  </sheetViews>
  <sheetFormatPr defaultRowHeight="14.25"/>
  <cols>
    <col min="1" max="3" width="9" style="657"/>
    <col min="4" max="4" width="7.25" style="657" customWidth="1"/>
    <col min="5" max="5" width="55.5" style="795" customWidth="1"/>
    <col min="6" max="6" width="26.125" style="657" customWidth="1"/>
    <col min="7" max="7" width="49.125" style="792" customWidth="1"/>
    <col min="8" max="8" width="22.75" style="792" customWidth="1"/>
    <col min="9" max="9" width="36.375" style="657" customWidth="1"/>
    <col min="10" max="12" width="9" style="657"/>
    <col min="13" max="13" width="9" style="657" customWidth="1"/>
    <col min="14" max="26" width="9" style="657"/>
  </cols>
  <sheetData>
    <row r="4" spans="4:9">
      <c r="H4" s="657"/>
    </row>
    <row r="5" spans="4:9" ht="16.5">
      <c r="D5" s="658"/>
    </row>
    <row r="6" spans="4:9">
      <c r="D6" s="659"/>
      <c r="E6" s="704" t="s">
        <v>1396</v>
      </c>
      <c r="F6" s="705"/>
      <c r="G6" s="661"/>
      <c r="H6" s="661"/>
      <c r="I6" s="662"/>
    </row>
    <row r="7" spans="4:9">
      <c r="D7" s="659" t="s">
        <v>0</v>
      </c>
      <c r="E7" s="704" t="s">
        <v>2</v>
      </c>
      <c r="F7" s="705" t="s">
        <v>3</v>
      </c>
      <c r="G7" s="661" t="s">
        <v>4</v>
      </c>
      <c r="H7" s="661" t="s">
        <v>744</v>
      </c>
      <c r="I7" s="662" t="s">
        <v>745</v>
      </c>
    </row>
    <row r="8" spans="4:9" ht="78.75" customHeight="1">
      <c r="D8" s="663"/>
      <c r="E8" s="706" t="s">
        <v>1765</v>
      </c>
      <c r="F8" s="710"/>
      <c r="G8" s="661"/>
      <c r="H8" s="666" t="s">
        <v>686</v>
      </c>
      <c r="I8" s="666" t="s">
        <v>1047</v>
      </c>
    </row>
    <row r="9" spans="4:9" ht="14.25" customHeight="1">
      <c r="D9" s="667"/>
      <c r="E9" s="706" t="s">
        <v>1766</v>
      </c>
      <c r="F9" s="711"/>
      <c r="G9" s="666"/>
      <c r="H9" s="666"/>
      <c r="I9" s="666"/>
    </row>
    <row r="10" spans="4:9">
      <c r="D10" s="667"/>
      <c r="E10" s="706" t="s">
        <v>1397</v>
      </c>
      <c r="F10" s="711"/>
      <c r="G10" s="666"/>
      <c r="H10" s="666"/>
      <c r="I10" s="662"/>
    </row>
    <row r="11" spans="4:9">
      <c r="D11" s="667"/>
      <c r="E11" s="706" t="s">
        <v>1398</v>
      </c>
      <c r="F11" s="711"/>
      <c r="G11" s="666"/>
      <c r="H11" s="666"/>
      <c r="I11" s="662"/>
    </row>
    <row r="12" spans="4:9" s="729" customFormat="1" ht="96">
      <c r="D12" s="671"/>
      <c r="E12" s="707" t="s">
        <v>1399</v>
      </c>
      <c r="F12" s="726" t="s">
        <v>1767</v>
      </c>
      <c r="G12" s="727" t="s">
        <v>1768</v>
      </c>
      <c r="H12" s="674" t="s">
        <v>698</v>
      </c>
      <c r="I12" s="676"/>
    </row>
    <row r="13" spans="4:9">
      <c r="D13" s="667"/>
      <c r="E13" s="709"/>
      <c r="F13" s="711"/>
      <c r="G13" s="666"/>
      <c r="H13" s="666"/>
      <c r="I13" s="662"/>
    </row>
    <row r="14" spans="4:9">
      <c r="D14" s="667"/>
      <c r="E14" s="706" t="s">
        <v>1769</v>
      </c>
      <c r="F14" s="711"/>
      <c r="G14" s="666"/>
      <c r="H14" s="666"/>
      <c r="I14" s="662"/>
    </row>
    <row r="15" spans="4:9">
      <c r="D15" s="667"/>
      <c r="E15" s="706" t="s">
        <v>1400</v>
      </c>
      <c r="F15" s="711"/>
      <c r="G15" s="666"/>
      <c r="H15" s="666"/>
      <c r="I15" s="662"/>
    </row>
    <row r="16" spans="4:9">
      <c r="D16" s="667"/>
      <c r="E16" s="706" t="s">
        <v>1398</v>
      </c>
      <c r="F16" s="711"/>
      <c r="G16" s="666"/>
      <c r="H16" s="666"/>
      <c r="I16" s="662"/>
    </row>
    <row r="17" spans="1:26" s="729" customFormat="1" ht="102">
      <c r="D17" s="671"/>
      <c r="E17" s="707" t="s">
        <v>1401</v>
      </c>
      <c r="F17" s="728" t="s">
        <v>1770</v>
      </c>
      <c r="G17" s="726" t="s">
        <v>1402</v>
      </c>
      <c r="H17" s="674" t="s">
        <v>1403</v>
      </c>
      <c r="I17" s="676"/>
    </row>
    <row r="18" spans="1:26" ht="15" customHeight="1">
      <c r="D18" s="667"/>
      <c r="E18" s="709"/>
      <c r="F18" s="711"/>
      <c r="G18" s="666"/>
      <c r="H18" s="666"/>
      <c r="I18" s="662"/>
    </row>
    <row r="19" spans="1:26" ht="15" customHeight="1">
      <c r="D19" s="667"/>
      <c r="E19" s="706" t="s">
        <v>1771</v>
      </c>
      <c r="F19" s="711"/>
      <c r="G19" s="666"/>
      <c r="H19" s="666"/>
      <c r="I19" s="662"/>
    </row>
    <row r="20" spans="1:26" ht="15" customHeight="1">
      <c r="D20" s="667"/>
      <c r="E20" s="706" t="s">
        <v>1404</v>
      </c>
      <c r="F20" s="711"/>
      <c r="G20" s="666"/>
      <c r="H20" s="666"/>
      <c r="I20" s="662"/>
    </row>
    <row r="21" spans="1:26" ht="15" customHeight="1">
      <c r="D21" s="667"/>
      <c r="E21" s="706" t="s">
        <v>1398</v>
      </c>
      <c r="F21" s="711"/>
      <c r="G21" s="666"/>
      <c r="H21" s="666"/>
      <c r="I21" s="662"/>
    </row>
    <row r="22" spans="1:26" s="796" customFormat="1" ht="63.75">
      <c r="A22" s="729"/>
      <c r="B22" s="729"/>
      <c r="C22" s="729"/>
      <c r="D22" s="671"/>
      <c r="E22" s="707" t="s">
        <v>1405</v>
      </c>
      <c r="F22" s="726" t="s">
        <v>1406</v>
      </c>
      <c r="G22" s="726" t="s">
        <v>1407</v>
      </c>
      <c r="H22" s="674" t="s">
        <v>1408</v>
      </c>
      <c r="I22" s="676"/>
      <c r="J22" s="729"/>
      <c r="K22" s="729"/>
      <c r="L22" s="729"/>
      <c r="M22" s="729"/>
      <c r="N22" s="729"/>
      <c r="O22" s="729"/>
      <c r="P22" s="729"/>
      <c r="Q22" s="729"/>
      <c r="R22" s="729"/>
      <c r="S22" s="729"/>
      <c r="T22" s="729"/>
      <c r="U22" s="729"/>
      <c r="V22" s="729"/>
      <c r="W22" s="729"/>
      <c r="X22" s="729"/>
      <c r="Y22" s="729"/>
      <c r="Z22" s="729"/>
    </row>
    <row r="23" spans="1:26">
      <c r="D23" s="667"/>
      <c r="E23" s="709"/>
      <c r="F23" s="711"/>
      <c r="G23" s="666"/>
      <c r="H23" s="666"/>
      <c r="I23" s="662"/>
    </row>
    <row r="24" spans="1:26">
      <c r="D24" s="730"/>
      <c r="E24" s="731" t="s">
        <v>1772</v>
      </c>
      <c r="F24" s="732"/>
      <c r="G24" s="733"/>
      <c r="H24" s="733"/>
      <c r="I24" s="734"/>
    </row>
    <row r="25" spans="1:26">
      <c r="D25" s="730"/>
      <c r="E25" s="731" t="s">
        <v>1409</v>
      </c>
      <c r="F25" s="732"/>
      <c r="G25" s="733"/>
      <c r="H25" s="733"/>
      <c r="I25" s="734"/>
    </row>
    <row r="26" spans="1:26">
      <c r="D26" s="730"/>
      <c r="E26" s="731" t="s">
        <v>1398</v>
      </c>
      <c r="F26" s="732"/>
      <c r="G26" s="733"/>
      <c r="H26" s="733"/>
      <c r="I26" s="734"/>
    </row>
    <row r="27" spans="1:26" s="796" customFormat="1" ht="36">
      <c r="D27" s="735"/>
      <c r="E27" s="736" t="s">
        <v>1410</v>
      </c>
      <c r="F27" s="737" t="s">
        <v>1411</v>
      </c>
      <c r="G27" s="737" t="s">
        <v>1412</v>
      </c>
      <c r="H27" s="738" t="s">
        <v>698</v>
      </c>
      <c r="I27" s="739"/>
    </row>
    <row r="28" spans="1:26" ht="15" customHeight="1">
      <c r="D28" s="740"/>
      <c r="E28" s="709"/>
      <c r="F28" s="741"/>
      <c r="G28" s="666"/>
      <c r="H28" s="666"/>
      <c r="I28" s="662"/>
    </row>
    <row r="29" spans="1:26" ht="15" customHeight="1">
      <c r="D29" s="740"/>
      <c r="E29" s="706" t="s">
        <v>1773</v>
      </c>
      <c r="F29" s="741"/>
      <c r="G29" s="666"/>
      <c r="H29" s="666"/>
      <c r="I29" s="662"/>
    </row>
    <row r="30" spans="1:26" ht="15" customHeight="1">
      <c r="D30" s="662"/>
      <c r="E30" s="706" t="s">
        <v>1413</v>
      </c>
      <c r="F30" s="662"/>
      <c r="G30" s="666"/>
      <c r="H30" s="666"/>
      <c r="I30" s="662"/>
    </row>
    <row r="31" spans="1:26" ht="15" customHeight="1">
      <c r="D31" s="662"/>
      <c r="E31" s="706" t="s">
        <v>1398</v>
      </c>
      <c r="F31" s="662"/>
      <c r="G31" s="666"/>
      <c r="H31" s="666"/>
      <c r="I31" s="662"/>
    </row>
    <row r="32" spans="1:26" s="742" customFormat="1" ht="72">
      <c r="D32" s="676"/>
      <c r="E32" s="686" t="s">
        <v>1414</v>
      </c>
      <c r="F32" s="726" t="s">
        <v>1415</v>
      </c>
      <c r="G32" s="727" t="s">
        <v>1774</v>
      </c>
      <c r="H32" s="674" t="s">
        <v>1416</v>
      </c>
      <c r="I32" s="676"/>
    </row>
    <row r="33" spans="4:9">
      <c r="D33" s="667"/>
      <c r="E33" s="709"/>
      <c r="F33" s="711"/>
      <c r="G33" s="666"/>
      <c r="H33" s="666"/>
      <c r="I33" s="662"/>
    </row>
    <row r="34" spans="4:9">
      <c r="D34" s="667"/>
      <c r="E34" s="706" t="s">
        <v>1775</v>
      </c>
      <c r="F34" s="711"/>
      <c r="G34" s="666"/>
      <c r="H34" s="666"/>
      <c r="I34" s="662"/>
    </row>
    <row r="35" spans="4:9">
      <c r="D35" s="740"/>
      <c r="E35" s="706" t="s">
        <v>1417</v>
      </c>
      <c r="F35" s="741"/>
      <c r="G35" s="666"/>
      <c r="H35" s="666"/>
      <c r="I35" s="662"/>
    </row>
    <row r="36" spans="4:9">
      <c r="D36" s="740"/>
      <c r="E36" s="706" t="s">
        <v>1398</v>
      </c>
      <c r="F36" s="741"/>
      <c r="G36" s="666"/>
      <c r="H36" s="666"/>
      <c r="I36" s="662"/>
    </row>
    <row r="37" spans="4:9" s="729" customFormat="1" ht="38.25">
      <c r="D37" s="743"/>
      <c r="E37" s="686" t="s">
        <v>1418</v>
      </c>
      <c r="F37" s="726" t="s">
        <v>1419</v>
      </c>
      <c r="G37" s="726" t="s">
        <v>1420</v>
      </c>
      <c r="H37" s="674" t="s">
        <v>698</v>
      </c>
      <c r="I37" s="676"/>
    </row>
    <row r="38" spans="4:9" s="729" customFormat="1" ht="51">
      <c r="D38" s="743"/>
      <c r="E38" s="686" t="s">
        <v>1421</v>
      </c>
      <c r="F38" s="726" t="s">
        <v>1422</v>
      </c>
      <c r="G38" s="726" t="s">
        <v>1423</v>
      </c>
      <c r="H38" s="674" t="s">
        <v>698</v>
      </c>
      <c r="I38" s="676"/>
    </row>
    <row r="39" spans="4:9">
      <c r="D39" s="667"/>
      <c r="E39" s="709"/>
      <c r="F39" s="711"/>
      <c r="G39" s="666"/>
      <c r="H39" s="666"/>
      <c r="I39" s="662"/>
    </row>
    <row r="40" spans="4:9">
      <c r="D40" s="667"/>
      <c r="E40" s="706" t="s">
        <v>1776</v>
      </c>
      <c r="F40" s="711"/>
      <c r="G40" s="666"/>
      <c r="H40" s="666"/>
      <c r="I40" s="662"/>
    </row>
    <row r="41" spans="4:9">
      <c r="D41" s="667"/>
      <c r="E41" s="706" t="s">
        <v>1424</v>
      </c>
      <c r="F41" s="711"/>
      <c r="G41" s="666"/>
      <c r="H41" s="666"/>
      <c r="I41" s="662"/>
    </row>
    <row r="42" spans="4:9">
      <c r="D42" s="667"/>
      <c r="E42" s="706" t="s">
        <v>1398</v>
      </c>
      <c r="F42" s="711"/>
      <c r="G42" s="666"/>
      <c r="H42" s="666"/>
      <c r="I42" s="662"/>
    </row>
    <row r="43" spans="4:9" s="729" customFormat="1" ht="76.5">
      <c r="D43" s="671"/>
      <c r="E43" s="686" t="s">
        <v>1425</v>
      </c>
      <c r="F43" s="726" t="s">
        <v>1426</v>
      </c>
      <c r="G43" s="726" t="s">
        <v>1427</v>
      </c>
      <c r="H43" s="674" t="s">
        <v>698</v>
      </c>
      <c r="I43" s="676"/>
    </row>
    <row r="44" spans="4:9">
      <c r="D44" s="667"/>
      <c r="E44" s="709"/>
      <c r="F44" s="711"/>
      <c r="G44" s="666"/>
      <c r="H44" s="666"/>
      <c r="I44" s="662"/>
    </row>
    <row r="45" spans="4:9">
      <c r="D45" s="667"/>
      <c r="E45" s="706" t="s">
        <v>1777</v>
      </c>
      <c r="F45" s="711"/>
      <c r="G45" s="666"/>
      <c r="H45" s="666"/>
      <c r="I45" s="662"/>
    </row>
    <row r="46" spans="4:9">
      <c r="D46" s="667"/>
      <c r="E46" s="706" t="s">
        <v>1428</v>
      </c>
      <c r="F46" s="711"/>
      <c r="G46" s="666"/>
      <c r="H46" s="666"/>
      <c r="I46" s="662"/>
    </row>
    <row r="47" spans="4:9">
      <c r="D47" s="667"/>
      <c r="E47" s="706" t="s">
        <v>1398</v>
      </c>
      <c r="F47" s="711"/>
      <c r="G47" s="666"/>
      <c r="H47" s="666"/>
      <c r="I47" s="662"/>
    </row>
    <row r="48" spans="4:9" s="729" customFormat="1" ht="76.5">
      <c r="D48" s="671"/>
      <c r="E48" s="744" t="s">
        <v>1778</v>
      </c>
      <c r="F48" s="726" t="s">
        <v>1429</v>
      </c>
      <c r="G48" s="726" t="s">
        <v>1430</v>
      </c>
      <c r="H48" s="674" t="s">
        <v>698</v>
      </c>
      <c r="I48" s="676"/>
    </row>
    <row r="49" spans="4:9" s="796" customFormat="1" ht="76.5">
      <c r="D49" s="671"/>
      <c r="E49" s="744" t="s">
        <v>1431</v>
      </c>
      <c r="F49" s="726" t="s">
        <v>1432</v>
      </c>
      <c r="G49" s="726" t="s">
        <v>1433</v>
      </c>
      <c r="H49" s="674" t="s">
        <v>1434</v>
      </c>
      <c r="I49" s="676"/>
    </row>
    <row r="50" spans="4:9" s="729" customFormat="1" ht="96">
      <c r="D50" s="671"/>
      <c r="E50" s="686" t="s">
        <v>1435</v>
      </c>
      <c r="F50" s="726" t="s">
        <v>1436</v>
      </c>
      <c r="G50" s="726" t="s">
        <v>1779</v>
      </c>
      <c r="H50" s="674" t="s">
        <v>698</v>
      </c>
      <c r="I50" s="676"/>
    </row>
    <row r="51" spans="4:9">
      <c r="D51" s="662"/>
      <c r="E51" s="709"/>
      <c r="F51" s="662"/>
      <c r="G51" s="666"/>
      <c r="H51" s="666"/>
      <c r="I51" s="662"/>
    </row>
  </sheetData>
  <phoneticPr fontId="15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4:Z43"/>
  <sheetViews>
    <sheetView workbookViewId="0"/>
  </sheetViews>
  <sheetFormatPr defaultRowHeight="14.25"/>
  <cols>
    <col min="1" max="3" width="9" style="657"/>
    <col min="4" max="4" width="7.25" style="657" customWidth="1"/>
    <col min="5" max="5" width="55.5" style="795" customWidth="1"/>
    <col min="6" max="6" width="25.5" style="657" customWidth="1"/>
    <col min="7" max="7" width="64.25" style="657" customWidth="1"/>
    <col min="8" max="8" width="22.75" style="792" customWidth="1"/>
    <col min="9" max="9" width="36.375" style="657" customWidth="1"/>
    <col min="10" max="12" width="9" style="657"/>
    <col min="13" max="13" width="9" style="657" customWidth="1"/>
    <col min="14" max="26" width="9" style="657"/>
  </cols>
  <sheetData>
    <row r="4" spans="4:9">
      <c r="H4" s="657"/>
    </row>
    <row r="5" spans="4:9" ht="16.5">
      <c r="D5" s="658"/>
    </row>
    <row r="6" spans="4:9">
      <c r="D6" s="659"/>
      <c r="E6" s="704" t="s">
        <v>1437</v>
      </c>
      <c r="F6" s="705"/>
      <c r="G6" s="705"/>
      <c r="H6" s="661"/>
      <c r="I6" s="662"/>
    </row>
    <row r="7" spans="4:9">
      <c r="D7" s="659" t="s">
        <v>0</v>
      </c>
      <c r="E7" s="704" t="s">
        <v>2</v>
      </c>
      <c r="F7" s="705" t="s">
        <v>3</v>
      </c>
      <c r="G7" s="661" t="s">
        <v>4</v>
      </c>
      <c r="H7" s="661" t="s">
        <v>744</v>
      </c>
      <c r="I7" s="662" t="s">
        <v>745</v>
      </c>
    </row>
    <row r="8" spans="4:9" ht="78.75" customHeight="1">
      <c r="D8" s="659"/>
      <c r="E8" s="706" t="s">
        <v>1780</v>
      </c>
      <c r="F8" s="705"/>
      <c r="G8" s="705"/>
      <c r="H8" s="666" t="s">
        <v>664</v>
      </c>
      <c r="I8" s="666" t="s">
        <v>1047</v>
      </c>
    </row>
    <row r="9" spans="4:9" ht="14.25" customHeight="1">
      <c r="D9" s="662"/>
      <c r="E9" s="745" t="s">
        <v>1781</v>
      </c>
      <c r="F9" s="662"/>
      <c r="G9" s="662"/>
      <c r="H9" s="666"/>
      <c r="I9" s="666"/>
    </row>
    <row r="10" spans="4:9">
      <c r="D10" s="662"/>
      <c r="E10" s="746" t="s">
        <v>1438</v>
      </c>
      <c r="F10" s="662"/>
      <c r="G10" s="662"/>
      <c r="H10" s="666"/>
      <c r="I10" s="662"/>
    </row>
    <row r="11" spans="4:9">
      <c r="D11" s="662"/>
      <c r="E11" s="746" t="s">
        <v>1311</v>
      </c>
      <c r="F11" s="662"/>
      <c r="G11" s="662"/>
      <c r="H11" s="666"/>
      <c r="I11" s="662"/>
    </row>
    <row r="12" spans="4:9">
      <c r="D12" s="662"/>
      <c r="E12" s="669" t="s">
        <v>1439</v>
      </c>
      <c r="F12" s="662"/>
      <c r="G12" s="662"/>
      <c r="H12" s="666"/>
      <c r="I12" s="662"/>
    </row>
    <row r="13" spans="4:9" s="729" customFormat="1" ht="99.75">
      <c r="D13" s="676"/>
      <c r="E13" s="672" t="s">
        <v>1440</v>
      </c>
      <c r="F13" s="674" t="s">
        <v>1441</v>
      </c>
      <c r="G13" s="747" t="s">
        <v>1442</v>
      </c>
      <c r="H13" s="674" t="s">
        <v>1443</v>
      </c>
      <c r="I13" s="676"/>
    </row>
    <row r="14" spans="4:9" s="729" customFormat="1" ht="71.25">
      <c r="D14" s="676"/>
      <c r="E14" s="672" t="s">
        <v>1444</v>
      </c>
      <c r="F14" s="674" t="s">
        <v>1445</v>
      </c>
      <c r="G14" s="747" t="s">
        <v>1446</v>
      </c>
      <c r="H14" s="674" t="s">
        <v>686</v>
      </c>
      <c r="I14" s="676"/>
    </row>
    <row r="15" spans="4:9">
      <c r="D15" s="662"/>
      <c r="E15" s="669" t="s">
        <v>1447</v>
      </c>
      <c r="F15" s="666"/>
      <c r="G15" s="666"/>
      <c r="H15" s="666"/>
      <c r="I15" s="662"/>
    </row>
    <row r="16" spans="4:9" s="729" customFormat="1" ht="71.25">
      <c r="D16" s="676"/>
      <c r="E16" s="672" t="s">
        <v>1448</v>
      </c>
      <c r="F16" s="674" t="s">
        <v>1449</v>
      </c>
      <c r="G16" s="747" t="s">
        <v>1450</v>
      </c>
      <c r="H16" s="674" t="s">
        <v>1451</v>
      </c>
      <c r="I16" s="676"/>
    </row>
    <row r="17" spans="1:9">
      <c r="D17" s="662"/>
      <c r="E17" s="669" t="s">
        <v>1452</v>
      </c>
      <c r="F17" s="666"/>
      <c r="G17" s="666"/>
      <c r="H17" s="666"/>
      <c r="I17" s="662"/>
    </row>
    <row r="18" spans="1:9" s="729" customFormat="1" ht="99.75">
      <c r="D18" s="676"/>
      <c r="E18" s="672" t="s">
        <v>1453</v>
      </c>
      <c r="F18" s="674" t="s">
        <v>1454</v>
      </c>
      <c r="G18" s="747" t="s">
        <v>1455</v>
      </c>
      <c r="H18" s="675" t="s">
        <v>678</v>
      </c>
      <c r="I18" s="676"/>
    </row>
    <row r="19" spans="1:9">
      <c r="D19" s="662"/>
      <c r="E19" s="669" t="s">
        <v>1456</v>
      </c>
      <c r="F19" s="666"/>
      <c r="G19" s="666"/>
      <c r="H19" s="666"/>
      <c r="I19" s="662"/>
    </row>
    <row r="20" spans="1:9" s="729" customFormat="1" ht="103.5" customHeight="1">
      <c r="A20" s="748"/>
      <c r="D20" s="676"/>
      <c r="E20" s="672" t="s">
        <v>1457</v>
      </c>
      <c r="F20" s="674" t="s">
        <v>1458</v>
      </c>
      <c r="G20" s="674" t="s">
        <v>1459</v>
      </c>
      <c r="H20" s="675" t="s">
        <v>664</v>
      </c>
      <c r="I20" s="676"/>
    </row>
    <row r="21" spans="1:9">
      <c r="D21" s="662"/>
      <c r="E21" s="681"/>
      <c r="F21" s="666"/>
      <c r="G21" s="666"/>
      <c r="H21" s="666"/>
      <c r="I21" s="662"/>
    </row>
    <row r="22" spans="1:9">
      <c r="D22" s="662"/>
      <c r="E22" s="745" t="s">
        <v>1782</v>
      </c>
      <c r="F22" s="666"/>
      <c r="G22" s="666"/>
      <c r="H22" s="666"/>
      <c r="I22" s="662"/>
    </row>
    <row r="23" spans="1:9">
      <c r="D23" s="662"/>
      <c r="E23" s="746" t="s">
        <v>1460</v>
      </c>
      <c r="F23" s="666"/>
      <c r="G23" s="666"/>
      <c r="H23" s="666"/>
      <c r="I23" s="662"/>
    </row>
    <row r="24" spans="1:9">
      <c r="D24" s="662"/>
      <c r="E24" s="746" t="s">
        <v>1311</v>
      </c>
      <c r="F24" s="666"/>
      <c r="G24" s="666"/>
      <c r="H24" s="666"/>
      <c r="I24" s="662"/>
    </row>
    <row r="25" spans="1:9">
      <c r="D25" s="662"/>
      <c r="E25" s="669" t="s">
        <v>1461</v>
      </c>
      <c r="F25" s="666"/>
      <c r="G25" s="666"/>
      <c r="H25" s="666"/>
      <c r="I25" s="662"/>
    </row>
    <row r="26" spans="1:9" s="729" customFormat="1" ht="57">
      <c r="D26" s="676"/>
      <c r="E26" s="672" t="s">
        <v>1462</v>
      </c>
      <c r="F26" s="674" t="s">
        <v>1463</v>
      </c>
      <c r="G26" s="747" t="s">
        <v>1464</v>
      </c>
      <c r="H26" s="675" t="s">
        <v>664</v>
      </c>
      <c r="I26" s="676"/>
    </row>
    <row r="27" spans="1:9">
      <c r="D27" s="662"/>
      <c r="E27" s="669" t="s">
        <v>1465</v>
      </c>
      <c r="F27" s="666"/>
      <c r="G27" s="666"/>
      <c r="H27" s="666"/>
      <c r="I27" s="662"/>
    </row>
    <row r="28" spans="1:9" s="729" customFormat="1" ht="85.5">
      <c r="D28" s="676"/>
      <c r="E28" s="672" t="s">
        <v>1466</v>
      </c>
      <c r="F28" s="674" t="s">
        <v>1467</v>
      </c>
      <c r="G28" s="747" t="s">
        <v>1468</v>
      </c>
      <c r="H28" s="675" t="s">
        <v>686</v>
      </c>
      <c r="I28" s="676"/>
    </row>
    <row r="29" spans="1:9">
      <c r="D29" s="662"/>
      <c r="E29" s="669" t="s">
        <v>1469</v>
      </c>
      <c r="F29" s="666"/>
      <c r="G29" s="666"/>
      <c r="H29" s="666"/>
      <c r="I29" s="662"/>
    </row>
    <row r="30" spans="1:9" s="729" customFormat="1" ht="42.75">
      <c r="D30" s="676"/>
      <c r="E30" s="672" t="s">
        <v>1470</v>
      </c>
      <c r="F30" s="674" t="s">
        <v>1471</v>
      </c>
      <c r="G30" s="674" t="s">
        <v>1472</v>
      </c>
      <c r="H30" s="675" t="s">
        <v>664</v>
      </c>
      <c r="I30" s="676"/>
    </row>
    <row r="31" spans="1:9">
      <c r="D31" s="662"/>
      <c r="E31" s="681"/>
      <c r="F31" s="666"/>
      <c r="G31" s="666"/>
      <c r="H31" s="666"/>
      <c r="I31" s="662"/>
    </row>
    <row r="32" spans="1:9">
      <c r="D32" s="662"/>
      <c r="E32" s="745" t="s">
        <v>1783</v>
      </c>
      <c r="F32" s="666"/>
      <c r="G32" s="666"/>
      <c r="H32" s="666"/>
      <c r="I32" s="662"/>
    </row>
    <row r="33" spans="4:9">
      <c r="D33" s="662"/>
      <c r="E33" s="746" t="s">
        <v>1473</v>
      </c>
      <c r="F33" s="666"/>
      <c r="G33" s="666"/>
      <c r="H33" s="666"/>
      <c r="I33" s="662"/>
    </row>
    <row r="34" spans="4:9">
      <c r="D34" s="662"/>
      <c r="E34" s="746" t="s">
        <v>1311</v>
      </c>
      <c r="F34" s="666"/>
      <c r="G34" s="666"/>
      <c r="H34" s="666"/>
      <c r="I34" s="662"/>
    </row>
    <row r="35" spans="4:9">
      <c r="D35" s="662"/>
      <c r="E35" s="669" t="s">
        <v>1474</v>
      </c>
      <c r="F35" s="666"/>
      <c r="G35" s="666"/>
      <c r="H35" s="666"/>
      <c r="I35" s="662"/>
    </row>
    <row r="36" spans="4:9" s="729" customFormat="1" ht="71.25">
      <c r="D36" s="676"/>
      <c r="E36" s="672" t="s">
        <v>1475</v>
      </c>
      <c r="F36" s="674" t="s">
        <v>1476</v>
      </c>
      <c r="G36" s="674" t="s">
        <v>1477</v>
      </c>
      <c r="H36" s="675" t="s">
        <v>678</v>
      </c>
      <c r="I36" s="676"/>
    </row>
    <row r="37" spans="4:9" s="796" customFormat="1" ht="28.5">
      <c r="D37" s="676"/>
      <c r="E37" s="672" t="s">
        <v>1478</v>
      </c>
      <c r="F37" s="675" t="s">
        <v>1479</v>
      </c>
      <c r="G37" s="675" t="s">
        <v>1480</v>
      </c>
      <c r="H37" s="675"/>
      <c r="I37" s="676"/>
    </row>
    <row r="38" spans="4:9" s="729" customFormat="1">
      <c r="D38" s="676"/>
      <c r="E38" s="672"/>
      <c r="F38" s="675"/>
      <c r="G38" s="675"/>
      <c r="H38" s="675"/>
      <c r="I38" s="676"/>
    </row>
    <row r="39" spans="4:9">
      <c r="D39" s="662"/>
      <c r="E39" s="669" t="s">
        <v>1481</v>
      </c>
      <c r="F39" s="666"/>
      <c r="G39" s="666"/>
      <c r="H39" s="666"/>
      <c r="I39" s="662"/>
    </row>
    <row r="40" spans="4:9" s="729" customFormat="1" ht="71.25">
      <c r="D40" s="676"/>
      <c r="E40" s="672" t="s">
        <v>1482</v>
      </c>
      <c r="F40" s="674" t="s">
        <v>1483</v>
      </c>
      <c r="G40" s="674" t="s">
        <v>1484</v>
      </c>
      <c r="H40" s="675" t="s">
        <v>678</v>
      </c>
      <c r="I40" s="676"/>
    </row>
    <row r="41" spans="4:9">
      <c r="D41" s="662"/>
      <c r="E41" s="746" t="s">
        <v>1485</v>
      </c>
      <c r="F41" s="666" t="s">
        <v>1486</v>
      </c>
      <c r="G41" s="666" t="s">
        <v>1487</v>
      </c>
      <c r="H41" s="675" t="s">
        <v>678</v>
      </c>
      <c r="I41" s="662"/>
    </row>
    <row r="42" spans="4:9">
      <c r="D42" s="662"/>
      <c r="E42" s="746" t="s">
        <v>1488</v>
      </c>
      <c r="F42" s="666"/>
      <c r="G42" s="666"/>
      <c r="H42" s="666"/>
      <c r="I42" s="662"/>
    </row>
    <row r="43" spans="4:9" s="729" customFormat="1" ht="114">
      <c r="D43" s="676"/>
      <c r="E43" s="672" t="s">
        <v>1489</v>
      </c>
      <c r="F43" s="674" t="s">
        <v>1490</v>
      </c>
      <c r="G43" s="674" t="s">
        <v>1491</v>
      </c>
      <c r="H43" s="675" t="s">
        <v>698</v>
      </c>
      <c r="I43" s="676"/>
    </row>
  </sheetData>
  <phoneticPr fontId="155"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4:Z33"/>
  <sheetViews>
    <sheetView workbookViewId="0"/>
  </sheetViews>
  <sheetFormatPr defaultRowHeight="14.25"/>
  <cols>
    <col min="1" max="3" width="9" style="657"/>
    <col min="4" max="4" width="7.25" style="657" customWidth="1"/>
    <col min="5" max="5" width="77.625" style="795" customWidth="1"/>
    <col min="6" max="6" width="25.5" style="792" customWidth="1"/>
    <col min="7" max="7" width="45.25" style="792" customWidth="1"/>
    <col min="8" max="8" width="22.75" style="792" customWidth="1"/>
    <col min="9" max="9" width="36.375" style="657" customWidth="1"/>
    <col min="10" max="12" width="9" style="657"/>
    <col min="13" max="13" width="9" style="657" customWidth="1"/>
    <col min="14" max="26" width="9" style="657"/>
  </cols>
  <sheetData>
    <row r="4" spans="4:9">
      <c r="H4" s="657"/>
    </row>
    <row r="5" spans="4:9" ht="16.5">
      <c r="D5" s="658"/>
    </row>
    <row r="6" spans="4:9">
      <c r="D6" s="659"/>
      <c r="E6" s="749" t="s">
        <v>1492</v>
      </c>
      <c r="F6" s="661"/>
      <c r="G6" s="661"/>
      <c r="H6" s="661"/>
      <c r="I6" s="662"/>
    </row>
    <row r="7" spans="4:9">
      <c r="D7" s="659" t="s">
        <v>0</v>
      </c>
      <c r="E7" s="704" t="s">
        <v>2</v>
      </c>
      <c r="F7" s="661" t="s">
        <v>3</v>
      </c>
      <c r="G7" s="661" t="s">
        <v>4</v>
      </c>
      <c r="H7" s="661" t="s">
        <v>744</v>
      </c>
      <c r="I7" s="662" t="s">
        <v>745</v>
      </c>
    </row>
    <row r="8" spans="4:9" ht="78.75" customHeight="1">
      <c r="D8" s="659"/>
      <c r="E8" s="706" t="s">
        <v>1784</v>
      </c>
      <c r="F8" s="661"/>
      <c r="G8" s="661"/>
      <c r="H8" s="666" t="s">
        <v>318</v>
      </c>
      <c r="I8" s="666" t="s">
        <v>1047</v>
      </c>
    </row>
    <row r="9" spans="4:9" ht="14.25" customHeight="1">
      <c r="D9" s="688"/>
      <c r="E9" s="706" t="s">
        <v>1785</v>
      </c>
      <c r="F9" s="666"/>
      <c r="G9" s="666"/>
      <c r="H9" s="666"/>
      <c r="I9" s="666"/>
    </row>
    <row r="10" spans="4:9">
      <c r="D10" s="688"/>
      <c r="E10" s="706" t="s">
        <v>1493</v>
      </c>
      <c r="F10" s="666"/>
      <c r="G10" s="666"/>
      <c r="H10" s="666"/>
      <c r="I10" s="662"/>
    </row>
    <row r="11" spans="4:9">
      <c r="D11" s="688"/>
      <c r="E11" s="706" t="s">
        <v>1311</v>
      </c>
      <c r="F11" s="666"/>
      <c r="G11" s="666"/>
      <c r="H11" s="666"/>
      <c r="I11" s="662"/>
    </row>
    <row r="12" spans="4:9" s="729" customFormat="1">
      <c r="D12" s="685"/>
      <c r="E12" s="707" t="s">
        <v>1494</v>
      </c>
      <c r="F12" s="675"/>
      <c r="G12" s="674" t="s">
        <v>1495</v>
      </c>
      <c r="H12" s="675"/>
      <c r="I12" s="676"/>
    </row>
    <row r="13" spans="4:9" s="729" customFormat="1">
      <c r="D13" s="685"/>
      <c r="E13" s="707" t="s">
        <v>1496</v>
      </c>
      <c r="F13" s="675"/>
      <c r="G13" s="674" t="s">
        <v>1495</v>
      </c>
      <c r="H13" s="675"/>
      <c r="I13" s="676"/>
    </row>
    <row r="14" spans="4:9" s="729" customFormat="1">
      <c r="D14" s="685"/>
      <c r="E14" s="707" t="s">
        <v>1497</v>
      </c>
      <c r="F14" s="675"/>
      <c r="G14" s="674" t="s">
        <v>1495</v>
      </c>
      <c r="H14" s="675"/>
      <c r="I14" s="676"/>
    </row>
    <row r="15" spans="4:9" s="729" customFormat="1">
      <c r="D15" s="685"/>
      <c r="E15" s="707" t="s">
        <v>1498</v>
      </c>
      <c r="F15" s="675"/>
      <c r="G15" s="674" t="s">
        <v>1495</v>
      </c>
      <c r="H15" s="675"/>
      <c r="I15" s="676"/>
    </row>
    <row r="16" spans="4:9">
      <c r="D16" s="688"/>
      <c r="E16" s="706" t="s">
        <v>1786</v>
      </c>
      <c r="F16" s="666"/>
      <c r="G16" s="666"/>
      <c r="H16" s="666"/>
      <c r="I16" s="662"/>
    </row>
    <row r="17" spans="4:9">
      <c r="D17" s="688"/>
      <c r="E17" s="706" t="s">
        <v>1499</v>
      </c>
      <c r="F17" s="666"/>
      <c r="G17" s="666"/>
      <c r="H17" s="666"/>
      <c r="I17" s="662"/>
    </row>
    <row r="18" spans="4:9">
      <c r="D18" s="688"/>
      <c r="E18" s="706" t="s">
        <v>1311</v>
      </c>
      <c r="F18" s="666"/>
      <c r="G18" s="666"/>
      <c r="H18" s="666"/>
      <c r="I18" s="662"/>
    </row>
    <row r="19" spans="4:9" s="729" customFormat="1" ht="156.75">
      <c r="D19" s="685"/>
      <c r="E19" s="707" t="s">
        <v>1500</v>
      </c>
      <c r="F19" s="728" t="s">
        <v>1787</v>
      </c>
      <c r="G19" s="674" t="s">
        <v>1788</v>
      </c>
      <c r="H19" s="675"/>
      <c r="I19" s="676"/>
    </row>
    <row r="20" spans="4:9" s="729" customFormat="1" ht="128.25">
      <c r="D20" s="685"/>
      <c r="E20" s="707" t="s">
        <v>1501</v>
      </c>
      <c r="F20" s="674" t="s">
        <v>1502</v>
      </c>
      <c r="G20" s="674" t="s">
        <v>1503</v>
      </c>
      <c r="H20" s="675"/>
      <c r="I20" s="676"/>
    </row>
    <row r="21" spans="4:9" s="729" customFormat="1" ht="62.25" customHeight="1">
      <c r="D21" s="685"/>
      <c r="E21" s="707" t="s">
        <v>1504</v>
      </c>
      <c r="F21" s="674" t="s">
        <v>1505</v>
      </c>
      <c r="G21" s="674" t="s">
        <v>1506</v>
      </c>
      <c r="H21" s="675"/>
      <c r="I21" s="676"/>
    </row>
    <row r="22" spans="4:9">
      <c r="D22" s="688"/>
      <c r="E22" s="709"/>
      <c r="F22" s="666"/>
      <c r="G22" s="666"/>
      <c r="H22" s="666"/>
      <c r="I22" s="662"/>
    </row>
    <row r="23" spans="4:9">
      <c r="D23" s="688"/>
      <c r="E23" s="706" t="s">
        <v>1789</v>
      </c>
      <c r="F23" s="666"/>
      <c r="G23" s="666"/>
      <c r="H23" s="666"/>
      <c r="I23" s="662"/>
    </row>
    <row r="24" spans="4:9">
      <c r="D24" s="688"/>
      <c r="E24" s="706" t="s">
        <v>1507</v>
      </c>
      <c r="F24" s="666"/>
      <c r="G24" s="666"/>
      <c r="H24" s="666"/>
      <c r="I24" s="662"/>
    </row>
    <row r="25" spans="4:9" ht="27" customHeight="1">
      <c r="D25" s="688"/>
      <c r="E25" s="706" t="s">
        <v>1311</v>
      </c>
      <c r="F25" s="666"/>
      <c r="G25" s="666"/>
      <c r="H25" s="666"/>
      <c r="I25" s="662"/>
    </row>
    <row r="26" spans="4:9" s="729" customFormat="1" ht="71.25">
      <c r="D26" s="685"/>
      <c r="E26" s="707" t="s">
        <v>1508</v>
      </c>
      <c r="F26" s="674" t="s">
        <v>1509</v>
      </c>
      <c r="G26" s="674" t="s">
        <v>1510</v>
      </c>
      <c r="H26" s="675"/>
      <c r="I26" s="676"/>
    </row>
    <row r="27" spans="4:9" s="729" customFormat="1" ht="71.25">
      <c r="D27" s="685"/>
      <c r="E27" s="707" t="s">
        <v>1511</v>
      </c>
      <c r="F27" s="674" t="s">
        <v>1512</v>
      </c>
      <c r="G27" s="674" t="s">
        <v>1513</v>
      </c>
      <c r="H27" s="675"/>
      <c r="I27" s="676"/>
    </row>
    <row r="28" spans="4:9" s="729" customFormat="1" ht="57">
      <c r="D28" s="685"/>
      <c r="E28" s="707" t="s">
        <v>1514</v>
      </c>
      <c r="F28" s="674" t="s">
        <v>1515</v>
      </c>
      <c r="G28" s="674" t="s">
        <v>1516</v>
      </c>
      <c r="H28" s="675"/>
      <c r="I28" s="676"/>
    </row>
    <row r="29" spans="4:9">
      <c r="D29" s="688"/>
      <c r="E29" s="709"/>
      <c r="F29" s="666"/>
      <c r="G29" s="666"/>
      <c r="H29" s="666"/>
      <c r="I29" s="662"/>
    </row>
    <row r="30" spans="4:9">
      <c r="D30" s="688"/>
      <c r="E30" s="706" t="s">
        <v>1790</v>
      </c>
      <c r="F30" s="666"/>
      <c r="G30" s="666"/>
      <c r="H30" s="666"/>
      <c r="I30" s="662"/>
    </row>
    <row r="31" spans="4:9">
      <c r="D31" s="688"/>
      <c r="E31" s="706" t="s">
        <v>1517</v>
      </c>
      <c r="F31" s="666"/>
      <c r="G31" s="666"/>
      <c r="H31" s="666"/>
      <c r="I31" s="662"/>
    </row>
    <row r="32" spans="4:9">
      <c r="D32" s="688"/>
      <c r="E32" s="706" t="s">
        <v>1311</v>
      </c>
      <c r="F32" s="666"/>
      <c r="G32" s="666"/>
      <c r="H32" s="666"/>
      <c r="I32" s="662"/>
    </row>
    <row r="33" spans="4:9" s="729" customFormat="1" ht="57">
      <c r="D33" s="685"/>
      <c r="E33" s="707" t="s">
        <v>1518</v>
      </c>
      <c r="F33" s="674" t="s">
        <v>1519</v>
      </c>
      <c r="G33" s="674" t="s">
        <v>1520</v>
      </c>
      <c r="H33" s="675"/>
      <c r="I33" s="676"/>
    </row>
  </sheetData>
  <phoneticPr fontId="15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知识共享能力建设（郭羚）"/>
  <dimension ref="A4:Z61"/>
  <sheetViews>
    <sheetView workbookViewId="0"/>
  </sheetViews>
  <sheetFormatPr defaultRowHeight="14.25"/>
  <cols>
    <col min="1" max="3" width="9" style="657"/>
    <col min="4" max="4" width="7.25" style="657" customWidth="1"/>
    <col min="5" max="5" width="84" style="795" customWidth="1"/>
    <col min="6" max="6" width="25.5" style="792" customWidth="1"/>
    <col min="7" max="7" width="62.875" style="792" customWidth="1"/>
    <col min="8" max="8" width="22.75" style="792" customWidth="1"/>
    <col min="9" max="9" width="36.375" style="657" customWidth="1"/>
    <col min="10" max="12" width="9" style="657"/>
    <col min="13" max="13" width="9" style="657" customWidth="1"/>
    <col min="14" max="26" width="9" style="657"/>
  </cols>
  <sheetData>
    <row r="4" spans="1:26">
      <c r="H4" s="657"/>
    </row>
    <row r="5" spans="1:26" ht="16.5">
      <c r="D5" s="658"/>
    </row>
    <row r="6" spans="1:26">
      <c r="D6" s="659"/>
      <c r="E6" s="704" t="s">
        <v>1521</v>
      </c>
      <c r="F6" s="661"/>
      <c r="G6" s="661"/>
      <c r="H6" s="661"/>
      <c r="I6" s="662"/>
    </row>
    <row r="7" spans="1:26">
      <c r="D7" s="659" t="s">
        <v>0</v>
      </c>
      <c r="E7" s="704" t="s">
        <v>2</v>
      </c>
      <c r="F7" s="661" t="s">
        <v>3</v>
      </c>
      <c r="G7" s="661" t="s">
        <v>4</v>
      </c>
      <c r="H7" s="661" t="s">
        <v>744</v>
      </c>
      <c r="I7" s="662" t="s">
        <v>745</v>
      </c>
    </row>
    <row r="8" spans="1:26" ht="78.75" customHeight="1">
      <c r="D8" s="663"/>
      <c r="E8" s="664" t="s">
        <v>1791</v>
      </c>
      <c r="F8" s="665"/>
      <c r="G8" s="661"/>
      <c r="H8" s="666" t="s">
        <v>1522</v>
      </c>
      <c r="I8" s="666" t="s">
        <v>1047</v>
      </c>
    </row>
    <row r="9" spans="1:26" ht="14.25" customHeight="1">
      <c r="D9" s="667"/>
      <c r="E9" s="664" t="s">
        <v>1792</v>
      </c>
      <c r="F9" s="668"/>
      <c r="G9" s="666"/>
      <c r="H9" s="666"/>
      <c r="I9" s="666"/>
    </row>
    <row r="10" spans="1:26">
      <c r="D10" s="667"/>
      <c r="E10" s="669" t="s">
        <v>1523</v>
      </c>
      <c r="F10" s="668"/>
      <c r="G10" s="666"/>
      <c r="H10" s="666"/>
      <c r="I10" s="662"/>
    </row>
    <row r="11" spans="1:26" s="797" customFormat="1">
      <c r="A11" s="750"/>
      <c r="B11" s="750"/>
      <c r="C11" s="750"/>
      <c r="D11" s="751"/>
      <c r="E11" s="752" t="s">
        <v>1524</v>
      </c>
      <c r="F11" s="753"/>
      <c r="G11" s="754"/>
      <c r="H11" s="754"/>
      <c r="I11" s="755"/>
      <c r="J11" s="750"/>
      <c r="K11" s="750"/>
      <c r="L11" s="750"/>
      <c r="M11" s="750"/>
      <c r="N11" s="750"/>
      <c r="O11" s="750"/>
      <c r="P11" s="750"/>
      <c r="Q11" s="750"/>
      <c r="R11" s="750"/>
      <c r="S11" s="750"/>
      <c r="T11" s="750"/>
      <c r="U11" s="750"/>
      <c r="V11" s="750"/>
      <c r="W11" s="750"/>
      <c r="X11" s="750"/>
      <c r="Y11" s="750"/>
      <c r="Z11" s="750"/>
    </row>
    <row r="12" spans="1:26" s="729" customFormat="1" ht="71.25">
      <c r="D12" s="671"/>
      <c r="E12" s="672" t="s">
        <v>1525</v>
      </c>
      <c r="F12" s="673" t="s">
        <v>1526</v>
      </c>
      <c r="G12" s="674" t="s">
        <v>1527</v>
      </c>
      <c r="H12" s="675"/>
      <c r="I12" s="676"/>
    </row>
    <row r="13" spans="1:26" s="729" customFormat="1" ht="57">
      <c r="D13" s="671"/>
      <c r="E13" s="672" t="s">
        <v>1528</v>
      </c>
      <c r="F13" s="677" t="s">
        <v>1529</v>
      </c>
      <c r="G13" s="674" t="s">
        <v>1530</v>
      </c>
      <c r="H13" s="675"/>
      <c r="I13" s="676"/>
    </row>
    <row r="14" spans="1:26">
      <c r="D14" s="667"/>
      <c r="E14" s="662"/>
      <c r="F14" s="668"/>
      <c r="G14" s="666"/>
      <c r="H14" s="666"/>
      <c r="I14" s="662"/>
    </row>
    <row r="15" spans="1:26">
      <c r="D15" s="667"/>
      <c r="E15" s="664" t="s">
        <v>1793</v>
      </c>
      <c r="F15" s="668"/>
      <c r="G15" s="666"/>
      <c r="H15" s="666"/>
      <c r="I15" s="662"/>
    </row>
    <row r="16" spans="1:26">
      <c r="D16" s="667"/>
      <c r="E16" s="669" t="s">
        <v>1531</v>
      </c>
      <c r="F16" s="668"/>
      <c r="G16" s="666"/>
      <c r="H16" s="666"/>
      <c r="I16" s="662"/>
    </row>
    <row r="17" spans="4:9">
      <c r="D17" s="667"/>
      <c r="E17" s="669" t="s">
        <v>1524</v>
      </c>
      <c r="F17" s="668"/>
      <c r="G17" s="666"/>
      <c r="H17" s="666"/>
      <c r="I17" s="662"/>
    </row>
    <row r="18" spans="4:9" s="729" customFormat="1" ht="57">
      <c r="D18" s="671"/>
      <c r="E18" s="672" t="s">
        <v>1532</v>
      </c>
      <c r="F18" s="673" t="s">
        <v>1533</v>
      </c>
      <c r="G18" s="674" t="s">
        <v>1794</v>
      </c>
      <c r="H18" s="675"/>
      <c r="I18" s="676"/>
    </row>
    <row r="19" spans="4:9" s="729" customFormat="1" ht="85.5">
      <c r="D19" s="671"/>
      <c r="E19" s="672" t="s">
        <v>1534</v>
      </c>
      <c r="F19" s="673" t="s">
        <v>1535</v>
      </c>
      <c r="G19" s="674" t="s">
        <v>1536</v>
      </c>
      <c r="H19" s="675"/>
      <c r="I19" s="676"/>
    </row>
    <row r="20" spans="4:9">
      <c r="D20" s="667"/>
      <c r="E20" s="662"/>
      <c r="F20" s="668"/>
      <c r="G20" s="666"/>
      <c r="H20" s="666"/>
      <c r="I20" s="662"/>
    </row>
    <row r="21" spans="4:9">
      <c r="D21" s="667"/>
      <c r="E21" s="664" t="s">
        <v>1795</v>
      </c>
      <c r="F21" s="668"/>
      <c r="G21" s="666"/>
      <c r="H21" s="666"/>
      <c r="I21" s="662"/>
    </row>
    <row r="22" spans="4:9">
      <c r="D22" s="667"/>
      <c r="E22" s="669" t="s">
        <v>1537</v>
      </c>
      <c r="F22" s="668"/>
      <c r="G22" s="666"/>
      <c r="H22" s="666"/>
      <c r="I22" s="662"/>
    </row>
    <row r="23" spans="4:9" ht="27" customHeight="1">
      <c r="D23" s="667"/>
      <c r="E23" s="669" t="s">
        <v>1524</v>
      </c>
      <c r="F23" s="668"/>
      <c r="G23" s="666"/>
      <c r="H23" s="666"/>
      <c r="I23" s="662"/>
    </row>
    <row r="24" spans="4:9" s="729" customFormat="1" ht="85.5">
      <c r="D24" s="671"/>
      <c r="E24" s="672" t="s">
        <v>1538</v>
      </c>
      <c r="F24" s="673" t="s">
        <v>1539</v>
      </c>
      <c r="G24" s="674" t="s">
        <v>1540</v>
      </c>
      <c r="H24" s="675"/>
      <c r="I24" s="676"/>
    </row>
    <row r="25" spans="4:9" s="729" customFormat="1" ht="28.5">
      <c r="D25" s="671"/>
      <c r="E25" s="672" t="s">
        <v>1541</v>
      </c>
      <c r="F25" s="673" t="s">
        <v>1542</v>
      </c>
      <c r="G25" s="674" t="s">
        <v>1543</v>
      </c>
      <c r="H25" s="675"/>
      <c r="I25" s="676"/>
    </row>
    <row r="26" spans="4:9">
      <c r="D26" s="667"/>
      <c r="E26" s="662"/>
      <c r="F26" s="668"/>
      <c r="G26" s="666"/>
      <c r="H26" s="666"/>
      <c r="I26" s="662"/>
    </row>
    <row r="27" spans="4:9">
      <c r="D27" s="667"/>
      <c r="E27" s="664" t="s">
        <v>1796</v>
      </c>
      <c r="F27" s="668"/>
      <c r="G27" s="666"/>
      <c r="H27" s="666"/>
      <c r="I27" s="662"/>
    </row>
    <row r="28" spans="4:9">
      <c r="D28" s="667"/>
      <c r="E28" s="669" t="s">
        <v>1544</v>
      </c>
      <c r="F28" s="668"/>
      <c r="G28" s="666"/>
      <c r="H28" s="666"/>
      <c r="I28" s="662"/>
    </row>
    <row r="29" spans="4:9">
      <c r="D29" s="667"/>
      <c r="E29" s="669" t="s">
        <v>1524</v>
      </c>
      <c r="F29" s="668"/>
      <c r="G29" s="666"/>
      <c r="H29" s="666"/>
      <c r="I29" s="662"/>
    </row>
    <row r="30" spans="4:9" s="729" customFormat="1" ht="85.5">
      <c r="D30" s="671"/>
      <c r="E30" s="672" t="s">
        <v>1545</v>
      </c>
      <c r="F30" s="673" t="s">
        <v>1546</v>
      </c>
      <c r="G30" s="674" t="s">
        <v>1547</v>
      </c>
      <c r="H30" s="675"/>
      <c r="I30" s="676"/>
    </row>
    <row r="31" spans="4:9" s="729" customFormat="1" ht="156.75">
      <c r="D31" s="671"/>
      <c r="E31" s="672" t="s">
        <v>1548</v>
      </c>
      <c r="F31" s="673" t="s">
        <v>1549</v>
      </c>
      <c r="G31" s="674" t="s">
        <v>1550</v>
      </c>
      <c r="H31" s="675"/>
      <c r="I31" s="676"/>
    </row>
    <row r="32" spans="4:9">
      <c r="D32" s="667"/>
      <c r="E32" s="662"/>
      <c r="F32" s="668"/>
      <c r="G32" s="666"/>
      <c r="H32" s="666"/>
      <c r="I32" s="662"/>
    </row>
    <row r="33" spans="4:9">
      <c r="D33" s="667"/>
      <c r="E33" s="664" t="s">
        <v>1797</v>
      </c>
      <c r="F33" s="668"/>
      <c r="G33" s="666"/>
      <c r="H33" s="666"/>
      <c r="I33" s="662"/>
    </row>
    <row r="34" spans="4:9">
      <c r="D34" s="667"/>
      <c r="E34" s="669" t="s">
        <v>1551</v>
      </c>
      <c r="F34" s="668"/>
      <c r="G34" s="666"/>
      <c r="H34" s="666"/>
      <c r="I34" s="662"/>
    </row>
    <row r="35" spans="4:9">
      <c r="D35" s="667"/>
      <c r="E35" s="669" t="s">
        <v>1524</v>
      </c>
      <c r="F35" s="668"/>
      <c r="G35" s="666"/>
      <c r="H35" s="666"/>
      <c r="I35" s="662"/>
    </row>
    <row r="36" spans="4:9" s="729" customFormat="1" ht="28.5">
      <c r="D36" s="671"/>
      <c r="E36" s="672" t="s">
        <v>1552</v>
      </c>
      <c r="F36" s="673" t="s">
        <v>1553</v>
      </c>
      <c r="G36" s="674" t="s">
        <v>1554</v>
      </c>
      <c r="H36" s="675"/>
      <c r="I36" s="676"/>
    </row>
    <row r="37" spans="4:9" s="729" customFormat="1" ht="57">
      <c r="D37" s="671"/>
      <c r="E37" s="672" t="s">
        <v>1555</v>
      </c>
      <c r="F37" s="673" t="s">
        <v>1556</v>
      </c>
      <c r="G37" s="674" t="s">
        <v>1557</v>
      </c>
      <c r="H37" s="675"/>
      <c r="I37" s="676"/>
    </row>
    <row r="38" spans="4:9">
      <c r="D38" s="667"/>
      <c r="E38" s="662"/>
      <c r="F38" s="668"/>
      <c r="G38" s="666"/>
      <c r="H38" s="666"/>
      <c r="I38" s="662"/>
    </row>
    <row r="39" spans="4:9">
      <c r="D39" s="667"/>
      <c r="E39" s="664" t="s">
        <v>1798</v>
      </c>
      <c r="F39" s="668"/>
      <c r="G39" s="666"/>
      <c r="H39" s="666"/>
      <c r="I39" s="662"/>
    </row>
    <row r="40" spans="4:9">
      <c r="D40" s="667"/>
      <c r="E40" s="669" t="s">
        <v>1558</v>
      </c>
      <c r="F40" s="668"/>
      <c r="G40" s="666"/>
      <c r="H40" s="666"/>
      <c r="I40" s="662"/>
    </row>
    <row r="41" spans="4:9">
      <c r="D41" s="667"/>
      <c r="E41" s="669" t="s">
        <v>1524</v>
      </c>
      <c r="F41" s="668"/>
      <c r="G41" s="666"/>
      <c r="H41" s="666"/>
      <c r="I41" s="662"/>
    </row>
    <row r="42" spans="4:9" s="729" customFormat="1" ht="85.5">
      <c r="D42" s="671"/>
      <c r="E42" s="672" t="s">
        <v>1559</v>
      </c>
      <c r="F42" s="673" t="s">
        <v>1560</v>
      </c>
      <c r="G42" s="674" t="s">
        <v>1561</v>
      </c>
      <c r="H42" s="675"/>
      <c r="I42" s="676"/>
    </row>
    <row r="43" spans="4:9" s="729" customFormat="1" ht="42.75">
      <c r="D43" s="671"/>
      <c r="E43" s="672" t="s">
        <v>1562</v>
      </c>
      <c r="F43" s="673" t="s">
        <v>1563</v>
      </c>
      <c r="G43" s="674" t="s">
        <v>1564</v>
      </c>
      <c r="H43" s="675"/>
      <c r="I43" s="676"/>
    </row>
    <row r="44" spans="4:9">
      <c r="D44" s="667"/>
      <c r="E44" s="709"/>
      <c r="F44" s="668"/>
      <c r="G44" s="666"/>
      <c r="H44" s="666"/>
      <c r="I44" s="662"/>
    </row>
    <row r="45" spans="4:9">
      <c r="D45" s="667"/>
      <c r="E45" s="706"/>
      <c r="F45" s="668"/>
      <c r="G45" s="666"/>
      <c r="H45" s="666"/>
      <c r="I45" s="662"/>
    </row>
    <row r="46" spans="4:9">
      <c r="D46" s="667"/>
      <c r="E46" s="706"/>
      <c r="F46" s="668"/>
      <c r="G46" s="666"/>
      <c r="H46" s="666"/>
      <c r="I46" s="662"/>
    </row>
    <row r="47" spans="4:9">
      <c r="D47" s="667"/>
      <c r="E47" s="706"/>
      <c r="F47" s="668"/>
      <c r="G47" s="666"/>
      <c r="H47" s="666"/>
      <c r="I47" s="662"/>
    </row>
    <row r="48" spans="4:9" s="729" customFormat="1">
      <c r="D48" s="671"/>
      <c r="E48" s="707"/>
      <c r="F48" s="677"/>
      <c r="G48" s="675"/>
      <c r="H48" s="675"/>
      <c r="I48" s="676"/>
    </row>
    <row r="49" spans="4:9" s="729" customFormat="1">
      <c r="D49" s="671"/>
      <c r="E49" s="707"/>
      <c r="F49" s="677"/>
      <c r="G49" s="675"/>
      <c r="H49" s="675"/>
      <c r="I49" s="676"/>
    </row>
    <row r="50" spans="4:9">
      <c r="D50" s="667"/>
      <c r="E50" s="709"/>
      <c r="F50" s="668"/>
      <c r="G50" s="666"/>
      <c r="H50" s="666"/>
      <c r="I50" s="662"/>
    </row>
    <row r="51" spans="4:9">
      <c r="D51" s="667"/>
      <c r="E51" s="706"/>
      <c r="F51" s="668"/>
      <c r="G51" s="666"/>
      <c r="H51" s="666"/>
      <c r="I51" s="662"/>
    </row>
    <row r="52" spans="4:9">
      <c r="D52" s="662"/>
      <c r="E52" s="706"/>
      <c r="F52" s="666"/>
      <c r="G52" s="666"/>
      <c r="H52" s="666"/>
      <c r="I52" s="662"/>
    </row>
    <row r="53" spans="4:9">
      <c r="D53" s="662"/>
      <c r="E53" s="706"/>
      <c r="F53" s="666"/>
      <c r="G53" s="666"/>
      <c r="H53" s="666"/>
      <c r="I53" s="662"/>
    </row>
    <row r="54" spans="4:9" s="729" customFormat="1">
      <c r="D54" s="676"/>
      <c r="E54" s="707"/>
      <c r="F54" s="675"/>
      <c r="G54" s="675"/>
      <c r="H54" s="675"/>
      <c r="I54" s="676"/>
    </row>
    <row r="55" spans="4:9" s="729" customFormat="1">
      <c r="D55" s="676"/>
      <c r="E55" s="707"/>
      <c r="F55" s="675"/>
      <c r="G55" s="675"/>
      <c r="H55" s="675"/>
      <c r="I55" s="676"/>
    </row>
    <row r="56" spans="4:9">
      <c r="D56" s="662"/>
      <c r="E56" s="709"/>
      <c r="F56" s="666"/>
      <c r="G56" s="666"/>
      <c r="H56" s="666"/>
      <c r="I56" s="662"/>
    </row>
    <row r="57" spans="4:9">
      <c r="D57" s="662"/>
      <c r="E57" s="706"/>
      <c r="F57" s="666"/>
      <c r="G57" s="666"/>
      <c r="H57" s="666"/>
      <c r="I57" s="662"/>
    </row>
    <row r="58" spans="4:9">
      <c r="D58" s="662"/>
      <c r="E58" s="706"/>
      <c r="F58" s="666"/>
      <c r="G58" s="666"/>
      <c r="H58" s="666"/>
      <c r="I58" s="662"/>
    </row>
    <row r="59" spans="4:9">
      <c r="D59" s="662"/>
      <c r="E59" s="706"/>
      <c r="F59" s="666"/>
      <c r="G59" s="666"/>
      <c r="H59" s="666"/>
      <c r="I59" s="662"/>
    </row>
    <row r="60" spans="4:9" s="729" customFormat="1">
      <c r="D60" s="676"/>
      <c r="E60" s="707"/>
      <c r="F60" s="675"/>
      <c r="G60" s="675"/>
      <c r="H60" s="675"/>
      <c r="I60" s="676"/>
    </row>
    <row r="61" spans="4:9" s="729" customFormat="1">
      <c r="D61" s="676"/>
      <c r="E61" s="707"/>
      <c r="F61" s="675"/>
      <c r="G61" s="675"/>
      <c r="H61" s="675"/>
      <c r="I61" s="676"/>
    </row>
  </sheetData>
  <phoneticPr fontId="155"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考核计分逻辑"/>
  <dimension ref="A1:A26"/>
  <sheetViews>
    <sheetView workbookViewId="0"/>
  </sheetViews>
  <sheetFormatPr defaultColWidth="14" defaultRowHeight="18" customHeight="1"/>
  <cols>
    <col min="1" max="1" width="75.75" customWidth="1"/>
  </cols>
  <sheetData>
    <row r="1" spans="1:1" ht="24.75" customHeight="1">
      <c r="A1" s="891" t="s">
        <v>1565</v>
      </c>
    </row>
    <row r="2" spans="1:1" ht="18" customHeight="1">
      <c r="A2" s="803"/>
    </row>
    <row r="3" spans="1:1" ht="18" customHeight="1">
      <c r="A3" s="803"/>
    </row>
    <row r="4" spans="1:1" ht="18" customHeight="1">
      <c r="A4" s="803"/>
    </row>
    <row r="5" spans="1:1" ht="18" customHeight="1">
      <c r="A5" s="803"/>
    </row>
    <row r="6" spans="1:1" ht="18" customHeight="1">
      <c r="A6" s="803"/>
    </row>
    <row r="7" spans="1:1" ht="18" customHeight="1">
      <c r="A7" s="803"/>
    </row>
    <row r="8" spans="1:1" ht="18" customHeight="1">
      <c r="A8" s="803"/>
    </row>
    <row r="9" spans="1:1" ht="18" customHeight="1">
      <c r="A9" s="803"/>
    </row>
    <row r="10" spans="1:1" ht="18" customHeight="1">
      <c r="A10" s="803"/>
    </row>
    <row r="11" spans="1:1" ht="18" customHeight="1">
      <c r="A11" s="803"/>
    </row>
    <row r="12" spans="1:1" ht="18" customHeight="1">
      <c r="A12" s="803"/>
    </row>
    <row r="13" spans="1:1" ht="18" customHeight="1">
      <c r="A13" s="803"/>
    </row>
    <row r="14" spans="1:1" ht="18" customHeight="1">
      <c r="A14" s="803"/>
    </row>
    <row r="15" spans="1:1" ht="18" customHeight="1">
      <c r="A15" s="803"/>
    </row>
    <row r="16" spans="1:1" ht="18" customHeight="1">
      <c r="A16" s="803"/>
    </row>
    <row r="17" spans="1:1" ht="18" customHeight="1">
      <c r="A17" s="803"/>
    </row>
    <row r="18" spans="1:1" ht="18" customHeight="1">
      <c r="A18" s="803"/>
    </row>
    <row r="19" spans="1:1" ht="18" customHeight="1">
      <c r="A19" s="803"/>
    </row>
    <row r="20" spans="1:1" ht="18" customHeight="1">
      <c r="A20" s="803"/>
    </row>
    <row r="21" spans="1:1" ht="18" customHeight="1">
      <c r="A21" s="803"/>
    </row>
    <row r="22" spans="1:1" ht="18" customHeight="1">
      <c r="A22" s="803"/>
    </row>
    <row r="23" spans="1:1" ht="18" customHeight="1">
      <c r="A23" s="803"/>
    </row>
    <row r="24" spans="1:1" ht="18" customHeight="1">
      <c r="A24" s="803"/>
    </row>
    <row r="25" spans="1:1" ht="18" customHeight="1">
      <c r="A25" s="803"/>
    </row>
    <row r="26" spans="1:1" ht="18" customHeight="1">
      <c r="A26" s="803"/>
    </row>
  </sheetData>
  <mergeCells count="1">
    <mergeCell ref="A1:A26"/>
  </mergeCells>
  <phoneticPr fontId="155"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D8:H16"/>
  <sheetViews>
    <sheetView workbookViewId="0"/>
  </sheetViews>
  <sheetFormatPr defaultRowHeight="14.25"/>
  <cols>
    <col min="4" max="4" width="20.5" customWidth="1"/>
    <col min="5" max="5" width="13.25" customWidth="1"/>
    <col min="6" max="7" width="11.125" customWidth="1"/>
    <col min="8" max="8" width="11.625" bestFit="1" customWidth="1"/>
  </cols>
  <sheetData>
    <row r="8" spans="4:8" ht="15.75">
      <c r="D8" s="757" t="s">
        <v>2</v>
      </c>
      <c r="E8" s="757" t="s">
        <v>1566</v>
      </c>
      <c r="F8" s="757" t="s">
        <v>1567</v>
      </c>
      <c r="G8" s="757" t="s">
        <v>1567</v>
      </c>
      <c r="H8" s="757" t="s">
        <v>1568</v>
      </c>
    </row>
    <row r="9" spans="4:8" ht="15.75">
      <c r="D9" s="758" t="s">
        <v>1569</v>
      </c>
      <c r="E9" s="759">
        <v>3975</v>
      </c>
      <c r="F9" s="760">
        <v>1482</v>
      </c>
      <c r="G9" s="761">
        <v>0.37</v>
      </c>
      <c r="H9" s="762">
        <v>442.773666666667</v>
      </c>
    </row>
    <row r="10" spans="4:8" ht="15.75">
      <c r="D10" s="757" t="s">
        <v>1570</v>
      </c>
      <c r="E10" s="759">
        <v>1703.15</v>
      </c>
      <c r="F10" s="760">
        <v>1049</v>
      </c>
      <c r="G10" s="761">
        <v>0.62</v>
      </c>
      <c r="H10" s="762">
        <v>546.23500000000001</v>
      </c>
    </row>
    <row r="11" spans="4:8" ht="15.75">
      <c r="D11" s="757" t="s">
        <v>1571</v>
      </c>
      <c r="E11" s="759">
        <v>2853.24</v>
      </c>
      <c r="F11" s="759">
        <v>995</v>
      </c>
      <c r="G11" s="761">
        <v>0.35</v>
      </c>
      <c r="H11" s="762">
        <v>221.191666666667</v>
      </c>
    </row>
    <row r="12" spans="4:8" ht="15.75">
      <c r="D12" s="757" t="s">
        <v>1572</v>
      </c>
      <c r="E12" s="759">
        <v>3083.53</v>
      </c>
      <c r="F12" s="759">
        <v>929</v>
      </c>
      <c r="G12" s="761">
        <v>0.3</v>
      </c>
      <c r="H12" s="762">
        <v>187.3</v>
      </c>
    </row>
    <row r="13" spans="4:8" ht="15.75">
      <c r="D13" s="757"/>
      <c r="E13" s="757">
        <f>SUM(E9:E12)</f>
        <v>11614.92</v>
      </c>
      <c r="F13" s="757">
        <f>SUM(F9:F12)</f>
        <v>4455</v>
      </c>
      <c r="G13" s="763">
        <f>F13/E13</f>
        <v>0.38355838869316361</v>
      </c>
      <c r="H13" s="764">
        <f>SUM(H9:H12)</f>
        <v>1397.5003333333341</v>
      </c>
    </row>
    <row r="14" spans="4:8" ht="15.75">
      <c r="D14" s="757" t="s">
        <v>1573</v>
      </c>
      <c r="E14" s="757"/>
      <c r="F14" s="757"/>
      <c r="G14" s="757"/>
      <c r="H14" s="762">
        <v>400</v>
      </c>
    </row>
    <row r="15" spans="4:8" ht="15.75">
      <c r="D15" s="757" t="s">
        <v>1574</v>
      </c>
      <c r="E15" s="757"/>
      <c r="F15" s="757"/>
      <c r="G15" s="757"/>
      <c r="H15" s="762">
        <v>115.5</v>
      </c>
    </row>
    <row r="16" spans="4:8" ht="15.75">
      <c r="D16" s="757" t="s">
        <v>1575</v>
      </c>
      <c r="E16" s="757"/>
      <c r="F16" s="757"/>
      <c r="G16" s="757"/>
      <c r="H16" s="764">
        <f>F13-H13-H15</f>
        <v>2941.9996666666657</v>
      </c>
    </row>
  </sheetData>
  <phoneticPr fontId="15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19</vt:i4>
      </vt:variant>
    </vt:vector>
  </HeadingPairs>
  <TitlesOfParts>
    <vt:vector size="19" baseType="lpstr">
      <vt:lpstr>业务目标（陶淇晟）</vt:lpstr>
      <vt:lpstr>支撑中心目标</vt:lpstr>
      <vt:lpstr>2026年GS任务</vt:lpstr>
      <vt:lpstr>创新目标（黄勇）</vt:lpstr>
      <vt:lpstr>商务目标（何穹雕）</vt:lpstr>
      <vt:lpstr>管理能力提升目标（陶淇晟）</vt:lpstr>
      <vt:lpstr>软件产品规划及创新能力（何穹雕）</vt:lpstr>
      <vt:lpstr>技术研发能力建设（陈勇）</vt:lpstr>
      <vt:lpstr>项目群管理能力建设（赵慧环）</vt:lpstr>
      <vt:lpstr>商务能力建设（何穹雕）</vt:lpstr>
      <vt:lpstr>质量管控能力建设（郭胜美）</vt:lpstr>
      <vt:lpstr>质量管控能力建设（郭胜美）(副本)</vt:lpstr>
      <vt:lpstr>人员组织能力建设（黄勇）</vt:lpstr>
      <vt:lpstr>安全可控能力建设（王明亮）</vt:lpstr>
      <vt:lpstr>运维能力建设（王明亮）</vt:lpstr>
      <vt:lpstr>持续交付能力建设（李云志）</vt:lpstr>
      <vt:lpstr>知识共享能力建设（郭羚）</vt:lpstr>
      <vt:lpstr>考核计分逻辑</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yong huang</cp:lastModifiedBy>
  <dcterms:created xsi:type="dcterms:W3CDTF">2026-05-03T19:47:03Z</dcterms:created>
  <dcterms:modified xsi:type="dcterms:W3CDTF">2026-05-03T14:41:14Z</dcterms:modified>
</cp:coreProperties>
</file>